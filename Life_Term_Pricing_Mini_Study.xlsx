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3"/>
    <sheet name="Mortality_Table" sheetId="2" state="visible" r:id="rId4"/>
    <sheet name="Pricing" sheetId="3" state="visible" r:id="rId5"/>
    <sheet name="Summa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<sst xmlns="http://schemas.openxmlformats.org/spreadsheetml/2006/main" count="49" uniqueCount="17">
  <si>
    <t xml:space="preserve">Face Amount</t>
  </si>
  <si>
    <t xml:space="preserve">Term</t>
  </si>
  <si>
    <t xml:space="preserve">Interest Rate</t>
  </si>
  <si>
    <t xml:space="preserve">Issue Ages</t>
  </si>
  <si>
    <t xml:space="preserve">Age</t>
  </si>
  <si>
    <t xml:space="preserve">qx</t>
  </si>
  <si>
    <t xml:space="preserve">px</t>
  </si>
  <si>
    <t xml:space="preserve">Selected Issue Age</t>
  </si>
  <si>
    <t xml:space="preserve">Policy Year</t>
  </si>
  <si>
    <t xml:space="preserve">Attained Age</t>
  </si>
  <si>
    <t xml:space="preserve">Survival to Start</t>
  </si>
  <si>
    <t xml:space="preserve">Discount Factor</t>
  </si>
  <si>
    <t xml:space="preserve">EPV Contribution</t>
  </si>
  <si>
    <t xml:space="preserve">Net Single Premium </t>
  </si>
  <si>
    <t xml:space="preserve">Issue Age</t>
  </si>
  <si>
    <t xml:space="preserve">Net Single Premium</t>
  </si>
  <si>
    <t xml:space="preserve">Issue Age 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</si>
</sst>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10-Year Term Insurance Net Single Premium by Issue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Net Single Premium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</c:strCache>
            </c:strRef>
          </c:cat>
          <c:val>
            <c:numRef>
              <c:f>Summary!$B$3:$B$6</c:f>
              <c:numCache>
                <c:formatCode>General</c:formatCode>
                <c:ptCount val="4"/>
                <c:pt idx="0">
                  <c:v>295.158110868351</c:v>
                </c:pt>
                <c:pt idx="1">
                  <c:v>573.095541464279</c:v>
                </c:pt>
                <c:pt idx="2">
                  <c:v>1461.040624779</c:v>
                </c:pt>
                <c:pt idx="3">
                  <c:v>4252.18680702962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971766"/>
        <c:axId val="28947525"/>
      </c:lineChart>
      <c:catAx>
        <c:axId val="149717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8947525"/>
        <c:crossesAt val="0"/>
        <c:auto val="1"/>
        <c:lblAlgn val="ctr"/>
        <c:lblOffset val="100"/>
        <c:noMultiLvlLbl val="0"/>
      </c:catAx>
      <c:valAx>
        <c:axId val="289475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9717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10-Year Term Insurance Net Single Premium by Interest Rates
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Issue Age 60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463365396034"/>
          <c:y val="0.14674256799494"/>
          <c:w val="0.751098444365277"/>
          <c:h val="0.646215475437487"/>
        </c:manualLayout>
      </c:layout>
      <c:lineChart>
        <c:grouping val="standard"/>
        <c:varyColors val="0"/>
        <c:ser>
          <c:idx val="0"/>
          <c:order val="0"/>
          <c:tx>
            <c:strRef>
              <c:f>Summary!$B$26</c:f>
              <c:strCache>
                <c:ptCount val="1"/>
                <c:pt idx="0">
                  <c:v>Net Single Premium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Summary!$A$27:$A$29</c:f>
              <c:strCache>
                <c:ptCount val="3"/>
                <c:pt idx="0">
                  <c:v>3.00%</c:v>
                </c:pt>
                <c:pt idx="1">
                  <c:v>5.00%</c:v>
                </c:pt>
                <c:pt idx="2">
                  <c:v>7.00%</c:v>
                </c:pt>
              </c:strCache>
            </c:strRef>
          </c:cat>
          <c:val>
            <c:numRef>
              <c:f>Summary!$B$27:$B$29</c:f>
              <c:numCache>
                <c:formatCode>General</c:formatCode>
                <c:ptCount val="3"/>
                <c:pt idx="0">
                  <c:v>4776.85103309769</c:v>
                </c:pt>
                <c:pt idx="1">
                  <c:v>4252.18680702962</c:v>
                </c:pt>
                <c:pt idx="2">
                  <c:v>3804.53856582518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16994"/>
        <c:axId val="72783961"/>
      </c:lineChart>
      <c:catAx>
        <c:axId val="8001699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783961"/>
        <c:crosses val="autoZero"/>
        <c:auto val="1"/>
        <c:lblAlgn val="ctr"/>
        <c:lblOffset val="100"/>
        <c:noMultiLvlLbl val="0"/>
      </c:catAx>
      <c:valAx>
        <c:axId val="727839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0169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526659541622135"/>
          <c:y val="0.886780518659077"/>
          <c:w val="0.255848474052963"/>
          <c:h val="0.06293485135989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477000</xdr:colOff>
      <xdr:row>2</xdr:row>
      <xdr:rowOff>154080</xdr:rowOff>
    </xdr:from>
    <xdr:to>
      <xdr:col>9</xdr:col>
      <xdr:colOff>547560</xdr:colOff>
      <xdr:row>22</xdr:row>
      <xdr:rowOff>138600</xdr:rowOff>
    </xdr:to>
    <xdr:graphicFrame>
      <xdr:nvGraphicFramePr>
        <xdr:cNvPr id="1" name=""/>
        <xdr:cNvGraphicFramePr/>
      </xdr:nvGraphicFramePr>
      <xdr:xfrm>
        <a:off x="2102760" y="622080"/>
        <a:ext cx="576000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254880</xdr:colOff>
      <xdr:row>25</xdr:row>
      <xdr:rowOff>276120</xdr:rowOff>
    </xdr:from>
    <xdr:to>
      <xdr:col>9</xdr:col>
      <xdr:colOff>628560</xdr:colOff>
      <xdr:row>46</xdr:row>
      <xdr:rowOff>134640</xdr:rowOff>
    </xdr:to>
    <xdr:graphicFrame>
      <xdr:nvGraphicFramePr>
        <xdr:cNvPr id="2" name="Issue Age 60 10-Year Term Insurance Net Single Premium by interest rate"/>
        <xdr:cNvGraphicFramePr/>
      </xdr:nvGraphicFramePr>
      <xdr:xfrm>
        <a:off x="1880640" y="4483080"/>
        <a:ext cx="6063120" cy="341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n">
        <v>100000</v>
      </c>
    </row>
    <row r="2" customFormat="false" ht="12.8" hidden="false" customHeight="false" outlineLevel="0" collapsed="false">
      <c r="A2" s="2" t="s">
        <v>1</v>
      </c>
      <c r="B2" s="2" t="n">
        <v>10</v>
      </c>
    </row>
    <row r="3" customFormat="false" ht="12.8" hidden="false" customHeight="false" outlineLevel="0" collapsed="false">
      <c r="A3" s="2" t="s">
        <v>2</v>
      </c>
      <c r="B3" s="2" t="n">
        <v>0.05</v>
      </c>
      <c r="C3" s="1" t="n">
        <v>0.03</v>
      </c>
      <c r="D3" s="1" t="n">
        <v>0.07</v>
      </c>
    </row>
    <row r="5" customFormat="false" ht="12.8" hidden="false" customHeight="false" outlineLevel="0" collapsed="false">
      <c r="A5" s="2" t="s">
        <v>3</v>
      </c>
      <c r="B5" s="2" t="n">
        <v>30</v>
      </c>
    </row>
    <row r="6" customFormat="false" ht="12.8" hidden="false" customHeight="false" outlineLevel="0" collapsed="false">
      <c r="A6" s="3"/>
      <c r="B6" s="2" t="n">
        <v>40</v>
      </c>
    </row>
    <row r="7" customFormat="false" ht="12.8" hidden="false" customHeight="false" outlineLevel="0" collapsed="false">
      <c r="A7" s="3"/>
      <c r="B7" s="2" t="n">
        <v>50</v>
      </c>
    </row>
    <row r="8" customFormat="false" ht="12.8" hidden="false" customHeight="false" outlineLevel="0" collapsed="false">
      <c r="A8" s="3"/>
      <c r="B8" s="2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4</v>
      </c>
      <c r="B1" s="4" t="s">
        <v>5</v>
      </c>
      <c r="C1" s="4" t="s">
        <v>6</v>
      </c>
    </row>
    <row r="2" customFormat="false" ht="12.8" hidden="false" customHeight="false" outlineLevel="0" collapsed="false">
      <c r="A2" s="4" t="n">
        <v>30</v>
      </c>
      <c r="B2" s="4" t="n">
        <v>0.000315</v>
      </c>
      <c r="C2" s="4" t="n">
        <f aca="false">1-B2</f>
        <v>0.999685</v>
      </c>
    </row>
    <row r="3" customFormat="false" ht="12.8" hidden="false" customHeight="false" outlineLevel="0" collapsed="false">
      <c r="A3" s="4" t="n">
        <v>31</v>
      </c>
      <c r="B3" s="4" t="n">
        <v>0.000327</v>
      </c>
      <c r="C3" s="4" t="n">
        <f aca="false">1-B3</f>
        <v>0.999673</v>
      </c>
    </row>
    <row r="4" customFormat="false" ht="12.8" hidden="false" customHeight="false" outlineLevel="0" collapsed="false">
      <c r="A4" s="4" t="n">
        <v>32</v>
      </c>
      <c r="B4" s="4" t="n">
        <v>0.000341</v>
      </c>
      <c r="C4" s="4" t="n">
        <f aca="false">1-B4</f>
        <v>0.999659</v>
      </c>
    </row>
    <row r="5" customFormat="false" ht="12.8" hidden="false" customHeight="false" outlineLevel="0" collapsed="false">
      <c r="A5" s="4" t="n">
        <v>33</v>
      </c>
      <c r="B5" s="4" t="n">
        <v>0.000356</v>
      </c>
      <c r="C5" s="4" t="n">
        <f aca="false">1-B5</f>
        <v>0.999644</v>
      </c>
    </row>
    <row r="6" customFormat="false" ht="12.8" hidden="false" customHeight="false" outlineLevel="0" collapsed="false">
      <c r="A6" s="4" t="n">
        <v>34</v>
      </c>
      <c r="B6" s="4" t="n">
        <v>0.000372</v>
      </c>
      <c r="C6" s="4" t="n">
        <f aca="false">1-B6</f>
        <v>0.999628</v>
      </c>
    </row>
    <row r="7" customFormat="false" ht="12.8" hidden="false" customHeight="false" outlineLevel="0" collapsed="false">
      <c r="A7" s="4" t="n">
        <v>35</v>
      </c>
      <c r="B7" s="4" t="n">
        <v>0.000391</v>
      </c>
      <c r="C7" s="4" t="n">
        <f aca="false">1-B7</f>
        <v>0.999609</v>
      </c>
    </row>
    <row r="8" customFormat="false" ht="12.8" hidden="false" customHeight="false" outlineLevel="0" collapsed="false">
      <c r="A8" s="4" t="n">
        <v>36</v>
      </c>
      <c r="B8" s="4" t="n">
        <v>0.000412</v>
      </c>
      <c r="C8" s="4" t="n">
        <f aca="false">1-B8</f>
        <v>0.999588</v>
      </c>
    </row>
    <row r="9" customFormat="false" ht="12.8" hidden="false" customHeight="false" outlineLevel="0" collapsed="false">
      <c r="A9" s="4" t="n">
        <v>37</v>
      </c>
      <c r="B9" s="4" t="n">
        <v>0.000436</v>
      </c>
      <c r="C9" s="4" t="n">
        <f aca="false">1-B9</f>
        <v>0.999564</v>
      </c>
    </row>
    <row r="10" customFormat="false" ht="12.8" hidden="false" customHeight="false" outlineLevel="0" collapsed="false">
      <c r="A10" s="4" t="n">
        <v>38</v>
      </c>
      <c r="B10" s="4" t="n">
        <v>0.000463</v>
      </c>
      <c r="C10" s="4" t="n">
        <f aca="false">1-B10</f>
        <v>0.999537</v>
      </c>
    </row>
    <row r="11" customFormat="false" ht="12.8" hidden="false" customHeight="false" outlineLevel="0" collapsed="false">
      <c r="A11" s="4" t="n">
        <v>39</v>
      </c>
      <c r="B11" s="4" t="n">
        <v>0.000493</v>
      </c>
      <c r="C11" s="4" t="n">
        <f aca="false">1-B11</f>
        <v>0.999507</v>
      </c>
    </row>
    <row r="12" customFormat="false" ht="12.8" hidden="false" customHeight="false" outlineLevel="0" collapsed="false">
      <c r="A12" s="4" t="n">
        <v>40</v>
      </c>
      <c r="B12" s="4" t="n">
        <v>0.000527</v>
      </c>
      <c r="C12" s="4" t="n">
        <f aca="false">1-B12</f>
        <v>0.999473</v>
      </c>
    </row>
    <row r="13" customFormat="false" ht="12.8" hidden="false" customHeight="false" outlineLevel="0" collapsed="false">
      <c r="A13" s="4" t="n">
        <v>41</v>
      </c>
      <c r="B13" s="4" t="n">
        <v>0.000565</v>
      </c>
      <c r="C13" s="4" t="n">
        <f aca="false">1-B13</f>
        <v>0.999435</v>
      </c>
    </row>
    <row r="14" customFormat="false" ht="12.8" hidden="false" customHeight="false" outlineLevel="0" collapsed="false">
      <c r="A14" s="4" t="n">
        <v>42</v>
      </c>
      <c r="B14" s="4" t="n">
        <v>0.000608</v>
      </c>
      <c r="C14" s="4" t="n">
        <f aca="false">1-B14</f>
        <v>0.999392</v>
      </c>
    </row>
    <row r="15" customFormat="false" ht="12.8" hidden="false" customHeight="false" outlineLevel="0" collapsed="false">
      <c r="A15" s="4" t="n">
        <v>43</v>
      </c>
      <c r="B15" s="4" t="n">
        <v>0.000656</v>
      </c>
      <c r="C15" s="4" t="n">
        <f aca="false">1-B15</f>
        <v>0.999344</v>
      </c>
    </row>
    <row r="16" customFormat="false" ht="12.8" hidden="false" customHeight="false" outlineLevel="0" collapsed="false">
      <c r="A16" s="4" t="n">
        <v>44</v>
      </c>
      <c r="B16" s="4" t="n">
        <v>0.00071</v>
      </c>
      <c r="C16" s="4" t="n">
        <f aca="false">1-B16</f>
        <v>0.99929</v>
      </c>
    </row>
    <row r="17" customFormat="false" ht="12.8" hidden="false" customHeight="false" outlineLevel="0" collapsed="false">
      <c r="A17" s="4" t="n">
        <v>45</v>
      </c>
      <c r="B17" s="4" t="n">
        <v>0.000771</v>
      </c>
      <c r="C17" s="4" t="n">
        <f aca="false">1-B17</f>
        <v>0.999229</v>
      </c>
    </row>
    <row r="18" customFormat="false" ht="12.8" hidden="false" customHeight="false" outlineLevel="0" collapsed="false">
      <c r="A18" s="4" t="n">
        <v>46</v>
      </c>
      <c r="B18" s="4" t="n">
        <v>0.000839</v>
      </c>
      <c r="C18" s="4" t="n">
        <f aca="false">1-B18</f>
        <v>0.999161</v>
      </c>
    </row>
    <row r="19" customFormat="false" ht="12.8" hidden="false" customHeight="false" outlineLevel="0" collapsed="false">
      <c r="A19" s="4" t="n">
        <v>47</v>
      </c>
      <c r="B19" s="4" t="n">
        <v>0.000916</v>
      </c>
      <c r="C19" s="4" t="n">
        <f aca="false">1-B19</f>
        <v>0.999084</v>
      </c>
    </row>
    <row r="20" customFormat="false" ht="12.8" hidden="false" customHeight="false" outlineLevel="0" collapsed="false">
      <c r="A20" s="4" t="n">
        <v>48</v>
      </c>
      <c r="B20" s="4" t="n">
        <v>0.001003</v>
      </c>
      <c r="C20" s="4" t="n">
        <f aca="false">1-B20</f>
        <v>0.998997</v>
      </c>
    </row>
    <row r="21" customFormat="false" ht="12.8" hidden="false" customHeight="false" outlineLevel="0" collapsed="false">
      <c r="A21" s="4" t="n">
        <v>49</v>
      </c>
      <c r="B21" s="4" t="n">
        <v>0.0011</v>
      </c>
      <c r="C21" s="4" t="n">
        <f aca="false">1-B21</f>
        <v>0.9989</v>
      </c>
    </row>
    <row r="22" customFormat="false" ht="12.8" hidden="false" customHeight="false" outlineLevel="0" collapsed="false">
      <c r="A22" s="4" t="n">
        <v>50</v>
      </c>
      <c r="B22" s="4" t="n">
        <v>0.001209</v>
      </c>
      <c r="C22" s="4" t="n">
        <f aca="false">1-B22</f>
        <v>0.998791</v>
      </c>
    </row>
    <row r="23" customFormat="false" ht="12.8" hidden="false" customHeight="false" outlineLevel="0" collapsed="false">
      <c r="A23" s="4" t="n">
        <v>51</v>
      </c>
      <c r="B23" s="4" t="n">
        <v>0.001331</v>
      </c>
      <c r="C23" s="4" t="n">
        <f aca="false">1-B23</f>
        <v>0.998669</v>
      </c>
    </row>
    <row r="24" customFormat="false" ht="12.8" hidden="false" customHeight="false" outlineLevel="0" collapsed="false">
      <c r="A24" s="4" t="n">
        <v>52</v>
      </c>
      <c r="B24" s="4" t="n">
        <v>0.001469</v>
      </c>
      <c r="C24" s="4" t="n">
        <f aca="false">1-B24</f>
        <v>0.998531</v>
      </c>
    </row>
    <row r="25" customFormat="false" ht="12.8" hidden="false" customHeight="false" outlineLevel="0" collapsed="false">
      <c r="A25" s="4" t="n">
        <v>53</v>
      </c>
      <c r="B25" s="4" t="n">
        <v>0.001623</v>
      </c>
      <c r="C25" s="4" t="n">
        <f aca="false">1-B25</f>
        <v>0.998377</v>
      </c>
    </row>
    <row r="26" customFormat="false" ht="12.8" hidden="false" customHeight="false" outlineLevel="0" collapsed="false">
      <c r="A26" s="4" t="n">
        <v>54</v>
      </c>
      <c r="B26" s="4" t="n">
        <v>0.001797</v>
      </c>
      <c r="C26" s="4" t="n">
        <f aca="false">1-B26</f>
        <v>0.998203</v>
      </c>
    </row>
    <row r="27" customFormat="false" ht="12.8" hidden="false" customHeight="false" outlineLevel="0" collapsed="false">
      <c r="A27" s="4" t="n">
        <v>55</v>
      </c>
      <c r="B27" s="4" t="n">
        <v>0.001993</v>
      </c>
      <c r="C27" s="4" t="n">
        <f aca="false">1-B27</f>
        <v>0.998007</v>
      </c>
    </row>
    <row r="28" customFormat="false" ht="12.8" hidden="false" customHeight="false" outlineLevel="0" collapsed="false">
      <c r="A28" s="4" t="n">
        <v>56</v>
      </c>
      <c r="B28" s="4" t="n">
        <v>0.002212</v>
      </c>
      <c r="C28" s="4" t="n">
        <f aca="false">1-B28</f>
        <v>0.997788</v>
      </c>
    </row>
    <row r="29" customFormat="false" ht="12.8" hidden="false" customHeight="false" outlineLevel="0" collapsed="false">
      <c r="A29" s="4" t="n">
        <v>57</v>
      </c>
      <c r="B29" s="4" t="n">
        <v>0.002459</v>
      </c>
      <c r="C29" s="4" t="n">
        <f aca="false">1-B29</f>
        <v>0.997541</v>
      </c>
    </row>
    <row r="30" customFormat="false" ht="12.8" hidden="false" customHeight="false" outlineLevel="0" collapsed="false">
      <c r="A30" s="4" t="n">
        <v>58</v>
      </c>
      <c r="B30" s="4" t="n">
        <v>0.002736</v>
      </c>
      <c r="C30" s="4" t="n">
        <f aca="false">1-B30</f>
        <v>0.997264</v>
      </c>
    </row>
    <row r="31" customFormat="false" ht="12.8" hidden="false" customHeight="false" outlineLevel="0" collapsed="false">
      <c r="A31" s="4" t="n">
        <v>59</v>
      </c>
      <c r="B31" s="4" t="n">
        <v>0.003048</v>
      </c>
      <c r="C31" s="4" t="n">
        <f aca="false">1-B31</f>
        <v>0.996952</v>
      </c>
    </row>
    <row r="32" customFormat="false" ht="12.8" hidden="false" customHeight="false" outlineLevel="0" collapsed="false">
      <c r="A32" s="4" t="n">
        <v>60</v>
      </c>
      <c r="B32" s="4" t="n">
        <v>0.003398</v>
      </c>
      <c r="C32" s="4" t="n">
        <f aca="false">1-B32</f>
        <v>0.996602</v>
      </c>
    </row>
    <row r="33" customFormat="false" ht="12.8" hidden="false" customHeight="false" outlineLevel="0" collapsed="false">
      <c r="A33" s="4" t="n">
        <v>61</v>
      </c>
      <c r="B33" s="4" t="n">
        <v>0.003792</v>
      </c>
      <c r="C33" s="4" t="n">
        <f aca="false">1-B33</f>
        <v>0.996208</v>
      </c>
    </row>
    <row r="34" customFormat="false" ht="12.8" hidden="false" customHeight="false" outlineLevel="0" collapsed="false">
      <c r="A34" s="4" t="n">
        <v>62</v>
      </c>
      <c r="B34" s="4" t="n">
        <v>0.004234</v>
      </c>
      <c r="C34" s="4" t="n">
        <f aca="false">1-B34</f>
        <v>0.995766</v>
      </c>
    </row>
    <row r="35" customFormat="false" ht="12.8" hidden="false" customHeight="false" outlineLevel="0" collapsed="false">
      <c r="A35" s="4" t="n">
        <v>63</v>
      </c>
      <c r="B35" s="4" t="n">
        <v>0.00473</v>
      </c>
      <c r="C35" s="4" t="n">
        <f aca="false">1-B35</f>
        <v>0.99527</v>
      </c>
    </row>
    <row r="36" customFormat="false" ht="12.8" hidden="false" customHeight="false" outlineLevel="0" collapsed="false">
      <c r="A36" s="4" t="n">
        <v>64</v>
      </c>
      <c r="B36" s="4" t="n">
        <v>0.005288</v>
      </c>
      <c r="C36" s="4" t="n">
        <f aca="false">1-B36</f>
        <v>0.994712</v>
      </c>
    </row>
    <row r="37" customFormat="false" ht="12.8" hidden="false" customHeight="false" outlineLevel="0" collapsed="false">
      <c r="A37" s="4" t="n">
        <v>65</v>
      </c>
      <c r="B37" s="4" t="n">
        <v>0.005915</v>
      </c>
      <c r="C37" s="4" t="n">
        <f aca="false">1-B37</f>
        <v>0.994085</v>
      </c>
    </row>
    <row r="38" customFormat="false" ht="12.8" hidden="false" customHeight="false" outlineLevel="0" collapsed="false">
      <c r="A38" s="4" t="n">
        <v>66</v>
      </c>
      <c r="B38" s="4" t="n">
        <v>0.006619</v>
      </c>
      <c r="C38" s="4" t="n">
        <f aca="false">1-B38</f>
        <v>0.993381</v>
      </c>
    </row>
    <row r="39" customFormat="false" ht="12.8" hidden="false" customHeight="false" outlineLevel="0" collapsed="false">
      <c r="A39" s="4" t="n">
        <v>67</v>
      </c>
      <c r="B39" s="4" t="n">
        <v>0.007409</v>
      </c>
      <c r="C39" s="4" t="n">
        <f aca="false">1-B39</f>
        <v>0.992591</v>
      </c>
    </row>
    <row r="40" customFormat="false" ht="12.8" hidden="false" customHeight="false" outlineLevel="0" collapsed="false">
      <c r="A40" s="4" t="n">
        <v>68</v>
      </c>
      <c r="B40" s="4" t="n">
        <v>0.008297</v>
      </c>
      <c r="C40" s="4" t="n">
        <f aca="false">1-B40</f>
        <v>0.991703</v>
      </c>
    </row>
    <row r="41" customFormat="false" ht="12.8" hidden="false" customHeight="false" outlineLevel="0" collapsed="false">
      <c r="A41" s="4" t="n">
        <v>69</v>
      </c>
      <c r="B41" s="4" t="n">
        <v>0.009294</v>
      </c>
      <c r="C41" s="4" t="n">
        <f aca="false">1-B41</f>
        <v>0.990706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G60" activeCellId="0" sqref="G60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2" t="s">
        <v>7</v>
      </c>
      <c r="B1" s="2" t="n">
        <v>60</v>
      </c>
    </row>
    <row r="2" customFormat="false" ht="12.8" hidden="false" customHeight="false" outlineLevel="0" collapsed="false">
      <c r="A2" s="2" t="s">
        <v>0</v>
      </c>
      <c r="B2" s="2" t="n">
        <f aca="false">inputs!B1</f>
        <v>100000</v>
      </c>
    </row>
    <row r="3" customFormat="false" ht="12.8" hidden="false" customHeight="false" outlineLevel="0" collapsed="false">
      <c r="A3" s="2" t="s">
        <v>1</v>
      </c>
      <c r="B3" s="2" t="n">
        <f aca="false">inputs!B2</f>
        <v>10</v>
      </c>
    </row>
    <row r="4" customFormat="false" ht="12.8" hidden="false" customHeight="false" outlineLevel="0" collapsed="false">
      <c r="A4" s="2" t="s">
        <v>2</v>
      </c>
      <c r="B4" s="2" t="n">
        <f aca="false">inputs!B3</f>
        <v>0.05</v>
      </c>
    </row>
    <row r="7" customFormat="false" ht="24.05" hidden="false" customHeight="false" outlineLevel="0" collapsed="false">
      <c r="A7" s="2" t="s">
        <v>8</v>
      </c>
      <c r="B7" s="2" t="s">
        <v>9</v>
      </c>
      <c r="C7" s="2" t="s">
        <v>5</v>
      </c>
      <c r="D7" s="2" t="s">
        <v>6</v>
      </c>
      <c r="E7" s="2" t="s">
        <v>10</v>
      </c>
      <c r="F7" s="2" t="s">
        <v>11</v>
      </c>
      <c r="G7" s="2" t="s">
        <v>12</v>
      </c>
    </row>
    <row r="8" customFormat="false" ht="12.8" hidden="false" customHeight="false" outlineLevel="0" collapsed="false">
      <c r="A8" s="4" t="n">
        <v>1</v>
      </c>
      <c r="B8" s="4" t="n">
        <f aca="false">$B$1+A8-1</f>
        <v>60</v>
      </c>
      <c r="C8" s="4" t="n">
        <f aca="false">_xlfn.XLOOKUP(B8,Mortality_Table!$A:$A,Mortality_Table!$B:$B)</f>
        <v>0.003398</v>
      </c>
      <c r="D8" s="4" t="n">
        <f aca="false">1-C8</f>
        <v>0.996602</v>
      </c>
      <c r="E8" s="4" t="n">
        <f aca="false">1</f>
        <v>1</v>
      </c>
      <c r="F8" s="4" t="n">
        <f aca="false">1/(1+$B$4)^A8</f>
        <v>0.952380952380952</v>
      </c>
      <c r="G8" s="4" t="n">
        <f aca="false">$B$2*E8*C8*F8</f>
        <v>323.619047619048</v>
      </c>
    </row>
    <row r="9" customFormat="false" ht="12.8" hidden="false" customHeight="false" outlineLevel="0" collapsed="false">
      <c r="A9" s="4" t="n">
        <f aca="false">A8+1</f>
        <v>2</v>
      </c>
      <c r="B9" s="4" t="n">
        <f aca="false">$B$1+A9-1</f>
        <v>61</v>
      </c>
      <c r="C9" s="4" t="n">
        <f aca="false">_xlfn.XLOOKUP(B9,Mortality_Table!$A:$A,Mortality_Table!$B:$B)</f>
        <v>0.003792</v>
      </c>
      <c r="D9" s="4" t="n">
        <f aca="false">1-C9</f>
        <v>0.996208</v>
      </c>
      <c r="E9" s="4" t="n">
        <f aca="false">E8*D8</f>
        <v>0.996602</v>
      </c>
      <c r="F9" s="4" t="n">
        <f aca="false">1/(1+$B$4)^A9</f>
        <v>0.90702947845805</v>
      </c>
      <c r="G9" s="4" t="n">
        <f aca="false">$B$2*E9*C9*F9</f>
        <v>342.776851156463</v>
      </c>
    </row>
    <row r="10" customFormat="false" ht="12.8" hidden="false" customHeight="false" outlineLevel="0" collapsed="false">
      <c r="A10" s="4" t="n">
        <f aca="false">A9+1</f>
        <v>3</v>
      </c>
      <c r="B10" s="4" t="n">
        <f aca="false">$B$1+A10-1</f>
        <v>62</v>
      </c>
      <c r="C10" s="4" t="n">
        <f aca="false">_xlfn.XLOOKUP(B10,Mortality_Table!$A:$A,Mortality_Table!$B:$B)</f>
        <v>0.004234</v>
      </c>
      <c r="D10" s="4" t="n">
        <f aca="false">1-C10</f>
        <v>0.995766</v>
      </c>
      <c r="E10" s="4" t="n">
        <f aca="false">E9*D9</f>
        <v>0.992822885216</v>
      </c>
      <c r="F10" s="4" t="n">
        <f aca="false">1/(1+$B$4)^A10</f>
        <v>0.863837598531476</v>
      </c>
      <c r="G10" s="4" t="n">
        <f aca="false">$B$2*E10*C10*F10</f>
        <v>363.123817817043</v>
      </c>
    </row>
    <row r="11" customFormat="false" ht="12.8" hidden="false" customHeight="false" outlineLevel="0" collapsed="false">
      <c r="A11" s="4" t="n">
        <f aca="false">A10+1</f>
        <v>4</v>
      </c>
      <c r="B11" s="4" t="n">
        <f aca="false">$B$1+A11-1</f>
        <v>63</v>
      </c>
      <c r="C11" s="4" t="n">
        <f aca="false">_xlfn.XLOOKUP(B11,Mortality_Table!$A:$A,Mortality_Table!$B:$B)</f>
        <v>0.00473</v>
      </c>
      <c r="D11" s="4" t="n">
        <f aca="false">1-C11</f>
        <v>0.99527</v>
      </c>
      <c r="E11" s="4" t="n">
        <f aca="false">E10*D10</f>
        <v>0.988619273119995</v>
      </c>
      <c r="F11" s="4" t="n">
        <f aca="false">1/(1+$B$4)^A11</f>
        <v>0.822702474791882</v>
      </c>
      <c r="G11" s="4" t="n">
        <f aca="false">$B$2*E11*C11*F11</f>
        <v>384.709594200571</v>
      </c>
    </row>
    <row r="12" customFormat="false" ht="12.8" hidden="false" customHeight="false" outlineLevel="0" collapsed="false">
      <c r="A12" s="4" t="n">
        <f aca="false">A11+1</f>
        <v>5</v>
      </c>
      <c r="B12" s="4" t="n">
        <f aca="false">$B$1+A12-1</f>
        <v>64</v>
      </c>
      <c r="C12" s="4" t="n">
        <f aca="false">_xlfn.XLOOKUP(B12,Mortality_Table!$A:$A,Mortality_Table!$B:$B)</f>
        <v>0.005288</v>
      </c>
      <c r="D12" s="4" t="n">
        <f aca="false">1-C12</f>
        <v>0.994712</v>
      </c>
      <c r="E12" s="4" t="n">
        <f aca="false">E11*D11</f>
        <v>0.983943103958138</v>
      </c>
      <c r="F12" s="4" t="n">
        <f aca="false">1/(1+$B$4)^A12</f>
        <v>0.783526166468459</v>
      </c>
      <c r="G12" s="4" t="n">
        <f aca="false">$B$2*E12*C12*F12</f>
        <v>407.675804979799</v>
      </c>
    </row>
    <row r="13" customFormat="false" ht="12.8" hidden="false" customHeight="false" outlineLevel="0" collapsed="false">
      <c r="A13" s="4" t="n">
        <f aca="false">A12+1</f>
        <v>6</v>
      </c>
      <c r="B13" s="4" t="n">
        <f aca="false">$B$1+A13-1</f>
        <v>65</v>
      </c>
      <c r="C13" s="4" t="n">
        <f aca="false">_xlfn.XLOOKUP(B13,Mortality_Table!$A:$A,Mortality_Table!$B:$B)</f>
        <v>0.005915</v>
      </c>
      <c r="D13" s="4" t="n">
        <f aca="false">1-C13</f>
        <v>0.994085</v>
      </c>
      <c r="E13" s="4" t="n">
        <f aca="false">E12*D12</f>
        <v>0.978740012824407</v>
      </c>
      <c r="F13" s="4" t="n">
        <f aca="false">1/(1+$B$4)^A13</f>
        <v>0.746215396636627</v>
      </c>
      <c r="G13" s="4" t="n">
        <f aca="false">$B$2*E13*C13*F13</f>
        <v>432.002537755914</v>
      </c>
    </row>
    <row r="14" customFormat="false" ht="12.8" hidden="false" customHeight="false" outlineLevel="0" collapsed="false">
      <c r="A14" s="4" t="n">
        <f aca="false">A13+1</f>
        <v>7</v>
      </c>
      <c r="B14" s="4" t="n">
        <f aca="false">$B$1+A14-1</f>
        <v>66</v>
      </c>
      <c r="C14" s="4" t="n">
        <f aca="false">_xlfn.XLOOKUP(B14,Mortality_Table!$A:$A,Mortality_Table!$B:$B)</f>
        <v>0.006619</v>
      </c>
      <c r="D14" s="4" t="n">
        <f aca="false">1-C14</f>
        <v>0.993381</v>
      </c>
      <c r="E14" s="4" t="n">
        <f aca="false">E13*D13</f>
        <v>0.972950765648551</v>
      </c>
      <c r="F14" s="4" t="n">
        <f aca="false">1/(1+$B$4)^A14</f>
        <v>0.710681330130121</v>
      </c>
      <c r="G14" s="4" t="n">
        <f aca="false">$B$2*E14*C14*F14</f>
        <v>457.67601332041</v>
      </c>
    </row>
    <row r="15" customFormat="false" ht="12.8" hidden="false" customHeight="false" outlineLevel="0" collapsed="false">
      <c r="A15" s="4" t="n">
        <f aca="false">A14+1</f>
        <v>8</v>
      </c>
      <c r="B15" s="4" t="n">
        <f aca="false">$B$1+A15-1</f>
        <v>67</v>
      </c>
      <c r="C15" s="4" t="n">
        <f aca="false">_xlfn.XLOOKUP(B15,Mortality_Table!$A:$A,Mortality_Table!$B:$B)</f>
        <v>0.007409</v>
      </c>
      <c r="D15" s="4" t="n">
        <f aca="false">1-C15</f>
        <v>0.992591</v>
      </c>
      <c r="E15" s="4" t="n">
        <f aca="false">E14*D14</f>
        <v>0.966510804530723</v>
      </c>
      <c r="F15" s="4" t="n">
        <f aca="false">1/(1+$B$4)^A15</f>
        <v>0.676839362028687</v>
      </c>
      <c r="G15" s="4" t="n">
        <f aca="false">$B$2*E15*C15*F15</f>
        <v>484.676446986681</v>
      </c>
    </row>
    <row r="16" customFormat="false" ht="12.8" hidden="false" customHeight="false" outlineLevel="0" collapsed="false">
      <c r="A16" s="4" t="n">
        <f aca="false">A15+1</f>
        <v>9</v>
      </c>
      <c r="B16" s="4" t="n">
        <f aca="false">$B$1+A16-1</f>
        <v>68</v>
      </c>
      <c r="C16" s="4" t="n">
        <f aca="false">_xlfn.XLOOKUP(B16,Mortality_Table!$A:$A,Mortality_Table!$B:$B)</f>
        <v>0.008297</v>
      </c>
      <c r="D16" s="4" t="n">
        <f aca="false">1-C16</f>
        <v>0.991703</v>
      </c>
      <c r="E16" s="4" t="n">
        <f aca="false">E15*D15</f>
        <v>0.959349925979955</v>
      </c>
      <c r="F16" s="4" t="n">
        <f aca="false">1/(1+$B$4)^A16</f>
        <v>0.644608916217797</v>
      </c>
      <c r="G16" s="4" t="n">
        <f aca="false">$B$2*E16*C16*F16</f>
        <v>513.091056674619</v>
      </c>
    </row>
    <row r="17" customFormat="false" ht="12.8" hidden="false" customHeight="false" outlineLevel="0" collapsed="false">
      <c r="A17" s="4" t="n">
        <f aca="false">A16+1</f>
        <v>10</v>
      </c>
      <c r="B17" s="4" t="n">
        <f aca="false">$B$1+A17-1</f>
        <v>69</v>
      </c>
      <c r="C17" s="4" t="n">
        <f aca="false">_xlfn.XLOOKUP(B17,Mortality_Table!$A:$A,Mortality_Table!$B:$B)</f>
        <v>0.009294</v>
      </c>
      <c r="D17" s="4" t="n">
        <f aca="false">1-C17</f>
        <v>0.990706</v>
      </c>
      <c r="E17" s="4" t="n">
        <f aca="false">E16*D16</f>
        <v>0.951390199644099</v>
      </c>
      <c r="F17" s="4" t="n">
        <f aca="false">1/(1+$B$4)^A17</f>
        <v>0.613913253540759</v>
      </c>
      <c r="G17" s="4" t="n">
        <f aca="false">$B$2*E17*C17*F17</f>
        <v>542.83563651907</v>
      </c>
    </row>
    <row r="19" customFormat="false" ht="24.05" hidden="false" customHeight="false" outlineLevel="0" collapsed="false">
      <c r="F19" s="2" t="s">
        <v>13</v>
      </c>
      <c r="G19" s="4" t="n">
        <f aca="false">SUM(G8:G17)</f>
        <v>4252.18680702962</v>
      </c>
    </row>
    <row r="21" customFormat="false" ht="24.05" hidden="false" customHeight="false" outlineLevel="0" collapsed="false">
      <c r="A21" s="2" t="s">
        <v>7</v>
      </c>
      <c r="B21" s="2" t="n">
        <v>60</v>
      </c>
    </row>
    <row r="22" customFormat="false" ht="12.8" hidden="false" customHeight="false" outlineLevel="0" collapsed="false">
      <c r="A22" s="2" t="s">
        <v>0</v>
      </c>
      <c r="B22" s="2" t="n">
        <f aca="false">inputs!B1</f>
        <v>100000</v>
      </c>
    </row>
    <row r="23" customFormat="false" ht="12.8" hidden="false" customHeight="false" outlineLevel="0" collapsed="false">
      <c r="A23" s="2" t="s">
        <v>1</v>
      </c>
      <c r="B23" s="2" t="n">
        <f aca="false">inputs!B2</f>
        <v>10</v>
      </c>
    </row>
    <row r="24" customFormat="false" ht="12.8" hidden="false" customHeight="false" outlineLevel="0" collapsed="false">
      <c r="A24" s="2" t="s">
        <v>2</v>
      </c>
      <c r="B24" s="2" t="n">
        <f aca="false">inputs!C3</f>
        <v>0.03</v>
      </c>
    </row>
    <row r="27" customFormat="false" ht="24.05" hidden="false" customHeight="false" outlineLevel="0" collapsed="false">
      <c r="A27" s="2" t="s">
        <v>8</v>
      </c>
      <c r="B27" s="2" t="s">
        <v>9</v>
      </c>
      <c r="C27" s="2" t="s">
        <v>5</v>
      </c>
      <c r="D27" s="2" t="s">
        <v>6</v>
      </c>
      <c r="E27" s="2" t="s">
        <v>10</v>
      </c>
      <c r="F27" s="2" t="s">
        <v>11</v>
      </c>
      <c r="G27" s="2" t="s">
        <v>12</v>
      </c>
    </row>
    <row r="28" customFormat="false" ht="12.8" hidden="false" customHeight="false" outlineLevel="0" collapsed="false">
      <c r="A28" s="4" t="n">
        <v>1</v>
      </c>
      <c r="B28" s="4" t="n">
        <f aca="false">$B$1+A28-1</f>
        <v>60</v>
      </c>
      <c r="C28" s="4" t="n">
        <f aca="false">_xlfn.XLOOKUP(B28,Mortality_Table!$A:$A,Mortality_Table!$B:$B)</f>
        <v>0.003398</v>
      </c>
      <c r="D28" s="4" t="n">
        <f aca="false">1-C28</f>
        <v>0.996602</v>
      </c>
      <c r="E28" s="4" t="n">
        <f aca="false">1</f>
        <v>1</v>
      </c>
      <c r="F28" s="4" t="n">
        <f aca="false">1/(1+$B$24)^A28</f>
        <v>0.970873786407767</v>
      </c>
      <c r="G28" s="4" t="n">
        <f aca="false">$B$2*E28*C28*F28</f>
        <v>329.902912621359</v>
      </c>
    </row>
    <row r="29" customFormat="false" ht="12.8" hidden="false" customHeight="false" outlineLevel="0" collapsed="false">
      <c r="A29" s="4" t="n">
        <f aca="false">A28+1</f>
        <v>2</v>
      </c>
      <c r="B29" s="4" t="n">
        <f aca="false">$B$1+A29-1</f>
        <v>61</v>
      </c>
      <c r="C29" s="4" t="n">
        <f aca="false">_xlfn.XLOOKUP(B29,Mortality_Table!$A:$A,Mortality_Table!$B:$B)</f>
        <v>0.003792</v>
      </c>
      <c r="D29" s="4" t="n">
        <f aca="false">1-C29</f>
        <v>0.996208</v>
      </c>
      <c r="E29" s="4" t="n">
        <f aca="false">E28*D28</f>
        <v>0.996602</v>
      </c>
      <c r="F29" s="4" t="n">
        <f aca="false">1/(1+$B$24)^A29</f>
        <v>0.942595909133754</v>
      </c>
      <c r="G29" s="4" t="n">
        <f aca="false">$B$2*E29*C29*F29</f>
        <v>356.217813554529</v>
      </c>
    </row>
    <row r="30" customFormat="false" ht="12.8" hidden="false" customHeight="false" outlineLevel="0" collapsed="false">
      <c r="A30" s="4" t="n">
        <f aca="false">A29+1</f>
        <v>3</v>
      </c>
      <c r="B30" s="4" t="n">
        <f aca="false">$B$1+A30-1</f>
        <v>62</v>
      </c>
      <c r="C30" s="4" t="n">
        <f aca="false">_xlfn.XLOOKUP(B30,Mortality_Table!$A:$A,Mortality_Table!$B:$B)</f>
        <v>0.004234</v>
      </c>
      <c r="D30" s="4" t="n">
        <f aca="false">1-C30</f>
        <v>0.995766</v>
      </c>
      <c r="E30" s="4" t="n">
        <f aca="false">E29*D29</f>
        <v>0.992822885216</v>
      </c>
      <c r="F30" s="4" t="n">
        <f aca="false">1/(1+$B$24)^A30</f>
        <v>0.91514165935316</v>
      </c>
      <c r="G30" s="4" t="n">
        <f aca="false">$B$2*E30*C30*F30</f>
        <v>384.690054881461</v>
      </c>
    </row>
    <row r="31" customFormat="false" ht="12.8" hidden="false" customHeight="false" outlineLevel="0" collapsed="false">
      <c r="A31" s="4" t="n">
        <f aca="false">A30+1</f>
        <v>4</v>
      </c>
      <c r="B31" s="4" t="n">
        <f aca="false">$B$1+A31-1</f>
        <v>63</v>
      </c>
      <c r="C31" s="4" t="n">
        <f aca="false">_xlfn.XLOOKUP(B31,Mortality_Table!$A:$A,Mortality_Table!$B:$B)</f>
        <v>0.00473</v>
      </c>
      <c r="D31" s="4" t="n">
        <f aca="false">1-C31</f>
        <v>0.99527</v>
      </c>
      <c r="E31" s="4" t="n">
        <f aca="false">E30*D30</f>
        <v>0.988619273119995</v>
      </c>
      <c r="F31" s="4" t="n">
        <f aca="false">1/(1+$B$24)^A31</f>
        <v>0.888487047915689</v>
      </c>
      <c r="G31" s="4" t="n">
        <f aca="false">$B$2*E31*C31*F31</f>
        <v>415.471573417322</v>
      </c>
    </row>
    <row r="32" customFormat="false" ht="12.8" hidden="false" customHeight="false" outlineLevel="0" collapsed="false">
      <c r="A32" s="4" t="n">
        <f aca="false">A31+1</f>
        <v>5</v>
      </c>
      <c r="B32" s="4" t="n">
        <f aca="false">$B$1+A32-1</f>
        <v>64</v>
      </c>
      <c r="C32" s="4" t="n">
        <f aca="false">_xlfn.XLOOKUP(B32,Mortality_Table!$A:$A,Mortality_Table!$B:$B)</f>
        <v>0.005288</v>
      </c>
      <c r="D32" s="4" t="n">
        <f aca="false">1-C32</f>
        <v>0.994712</v>
      </c>
      <c r="E32" s="4" t="n">
        <f aca="false">E31*D31</f>
        <v>0.983943103958138</v>
      </c>
      <c r="F32" s="4" t="n">
        <f aca="false">1/(1+$B$24)^A32</f>
        <v>0.862608784384164</v>
      </c>
      <c r="G32" s="4" t="n">
        <f aca="false">$B$2*E32*C32*F32</f>
        <v>448.82321179074</v>
      </c>
    </row>
    <row r="33" customFormat="false" ht="12.8" hidden="false" customHeight="false" outlineLevel="0" collapsed="false">
      <c r="A33" s="4" t="n">
        <f aca="false">A32+1</f>
        <v>6</v>
      </c>
      <c r="B33" s="4" t="n">
        <f aca="false">$B$1+A33-1</f>
        <v>65</v>
      </c>
      <c r="C33" s="4" t="n">
        <f aca="false">_xlfn.XLOOKUP(B33,Mortality_Table!$A:$A,Mortality_Table!$B:$B)</f>
        <v>0.005915</v>
      </c>
      <c r="D33" s="4" t="n">
        <f aca="false">1-C33</f>
        <v>0.994085</v>
      </c>
      <c r="E33" s="4" t="n">
        <f aca="false">E32*D32</f>
        <v>0.978740012824407</v>
      </c>
      <c r="F33" s="4" t="n">
        <f aca="false">1/(1+$B$24)^A33</f>
        <v>0.837484256683654</v>
      </c>
      <c r="G33" s="4" t="n">
        <f aca="false">$B$2*E33*C33*F33</f>
        <v>484.840336783002</v>
      </c>
    </row>
    <row r="34" customFormat="false" ht="12.8" hidden="false" customHeight="false" outlineLevel="0" collapsed="false">
      <c r="A34" s="4" t="n">
        <f aca="false">A33+1</f>
        <v>7</v>
      </c>
      <c r="B34" s="4" t="n">
        <f aca="false">$B$1+A34-1</f>
        <v>66</v>
      </c>
      <c r="C34" s="4" t="n">
        <f aca="false">_xlfn.XLOOKUP(B34,Mortality_Table!$A:$A,Mortality_Table!$B:$B)</f>
        <v>0.006619</v>
      </c>
      <c r="D34" s="4" t="n">
        <f aca="false">1-C34</f>
        <v>0.993381</v>
      </c>
      <c r="E34" s="4" t="n">
        <f aca="false">E33*D33</f>
        <v>0.972950765648551</v>
      </c>
      <c r="F34" s="4" t="n">
        <f aca="false">1/(1+$B$24)^A34</f>
        <v>0.813091511343354</v>
      </c>
      <c r="G34" s="4" t="n">
        <f aca="false">$B$2*E34*C34*F34</f>
        <v>523.627771828701</v>
      </c>
    </row>
    <row r="35" customFormat="false" ht="12.8" hidden="false" customHeight="false" outlineLevel="0" collapsed="false">
      <c r="A35" s="4" t="n">
        <f aca="false">A34+1</f>
        <v>8</v>
      </c>
      <c r="B35" s="4" t="n">
        <f aca="false">$B$1+A35-1</f>
        <v>67</v>
      </c>
      <c r="C35" s="4" t="n">
        <f aca="false">_xlfn.XLOOKUP(B35,Mortality_Table!$A:$A,Mortality_Table!$B:$B)</f>
        <v>0.007409</v>
      </c>
      <c r="D35" s="4" t="n">
        <f aca="false">1-C35</f>
        <v>0.992591</v>
      </c>
      <c r="E35" s="4" t="n">
        <f aca="false">E34*D34</f>
        <v>0.966510804530723</v>
      </c>
      <c r="F35" s="4" t="n">
        <f aca="false">1/(1+$B$24)^A35</f>
        <v>0.789409234313936</v>
      </c>
      <c r="G35" s="4" t="n">
        <f aca="false">$B$2*E35*C35*F35</f>
        <v>565.286365377695</v>
      </c>
    </row>
    <row r="36" customFormat="false" ht="12.8" hidden="false" customHeight="false" outlineLevel="0" collapsed="false">
      <c r="A36" s="4" t="n">
        <f aca="false">A35+1</f>
        <v>9</v>
      </c>
      <c r="B36" s="4" t="n">
        <f aca="false">$B$1+A36-1</f>
        <v>68</v>
      </c>
      <c r="C36" s="4" t="n">
        <f aca="false">_xlfn.XLOOKUP(B36,Mortality_Table!$A:$A,Mortality_Table!$B:$B)</f>
        <v>0.008297</v>
      </c>
      <c r="D36" s="4" t="n">
        <f aca="false">1-C36</f>
        <v>0.991703</v>
      </c>
      <c r="E36" s="4" t="n">
        <f aca="false">E35*D35</f>
        <v>0.959349925979955</v>
      </c>
      <c r="F36" s="4" t="n">
        <f aca="false">1/(1+$B$24)^A36</f>
        <v>0.766416732343627</v>
      </c>
      <c r="G36" s="4" t="n">
        <f aca="false">$B$2*E36*C36*F36</f>
        <v>610.046744867603</v>
      </c>
    </row>
    <row r="37" customFormat="false" ht="12.8" hidden="false" customHeight="false" outlineLevel="0" collapsed="false">
      <c r="A37" s="4" t="n">
        <f aca="false">A36+1</f>
        <v>10</v>
      </c>
      <c r="B37" s="4" t="n">
        <f aca="false">$B$1+A37-1</f>
        <v>69</v>
      </c>
      <c r="C37" s="4" t="n">
        <f aca="false">_xlfn.XLOOKUP(B37,Mortality_Table!$A:$A,Mortality_Table!$B:$B)</f>
        <v>0.009294</v>
      </c>
      <c r="D37" s="4" t="n">
        <f aca="false">1-C37</f>
        <v>0.990706</v>
      </c>
      <c r="E37" s="4" t="n">
        <f aca="false">E36*D36</f>
        <v>0.951390199644099</v>
      </c>
      <c r="F37" s="4" t="n">
        <f aca="false">1/(1+$B$24)^A37</f>
        <v>0.744093914896725</v>
      </c>
      <c r="G37" s="4" t="n">
        <f aca="false">$B$2*E37*C37*F37</f>
        <v>657.944247975277</v>
      </c>
    </row>
    <row r="39" customFormat="false" ht="24.05" hidden="false" customHeight="false" outlineLevel="0" collapsed="false">
      <c r="F39" s="2" t="s">
        <v>13</v>
      </c>
      <c r="G39" s="4" t="n">
        <f aca="false">SUM(G28:G37)</f>
        <v>4776.85103309769</v>
      </c>
    </row>
    <row r="42" customFormat="false" ht="24.05" hidden="false" customHeight="false" outlineLevel="0" collapsed="false">
      <c r="A42" s="2" t="s">
        <v>7</v>
      </c>
      <c r="B42" s="2" t="n">
        <v>60</v>
      </c>
    </row>
    <row r="43" customFormat="false" ht="12.8" hidden="false" customHeight="false" outlineLevel="0" collapsed="false">
      <c r="A43" s="2" t="s">
        <v>0</v>
      </c>
      <c r="B43" s="2" t="n">
        <f aca="false">inputs!B1</f>
        <v>100000</v>
      </c>
    </row>
    <row r="44" customFormat="false" ht="12.8" hidden="false" customHeight="false" outlineLevel="0" collapsed="false">
      <c r="A44" s="2" t="s">
        <v>1</v>
      </c>
      <c r="B44" s="2" t="n">
        <f aca="false">inputs!B2</f>
        <v>10</v>
      </c>
    </row>
    <row r="45" customFormat="false" ht="12.8" hidden="false" customHeight="false" outlineLevel="0" collapsed="false">
      <c r="A45" s="2" t="s">
        <v>2</v>
      </c>
      <c r="B45" s="2" t="n">
        <f aca="false">inputs!D3</f>
        <v>0.07</v>
      </c>
    </row>
    <row r="48" customFormat="false" ht="24.05" hidden="false" customHeight="false" outlineLevel="0" collapsed="false">
      <c r="A48" s="2" t="s">
        <v>8</v>
      </c>
      <c r="B48" s="2" t="s">
        <v>9</v>
      </c>
      <c r="C48" s="2" t="s">
        <v>5</v>
      </c>
      <c r="D48" s="2" t="s">
        <v>6</v>
      </c>
      <c r="E48" s="2" t="s">
        <v>10</v>
      </c>
      <c r="F48" s="2" t="s">
        <v>11</v>
      </c>
      <c r="G48" s="2" t="s">
        <v>12</v>
      </c>
    </row>
    <row r="49" customFormat="false" ht="12.8" hidden="false" customHeight="false" outlineLevel="0" collapsed="false">
      <c r="A49" s="4" t="n">
        <v>1</v>
      </c>
      <c r="B49" s="4" t="n">
        <f aca="false">$B$1+A49-1</f>
        <v>60</v>
      </c>
      <c r="C49" s="4" t="n">
        <f aca="false">_xlfn.XLOOKUP(B49,Mortality_Table!$A:$A,Mortality_Table!$B:$B)</f>
        <v>0.003398</v>
      </c>
      <c r="D49" s="4" t="n">
        <f aca="false">1-C49</f>
        <v>0.996602</v>
      </c>
      <c r="E49" s="4" t="n">
        <f aca="false">1</f>
        <v>1</v>
      </c>
      <c r="F49" s="4" t="n">
        <f aca="false">1/(1+$B$45)^A49</f>
        <v>0.934579439252336</v>
      </c>
      <c r="G49" s="4" t="n">
        <f aca="false">$B$2*E49*C49*F49</f>
        <v>317.570093457944</v>
      </c>
    </row>
    <row r="50" customFormat="false" ht="12.8" hidden="false" customHeight="false" outlineLevel="0" collapsed="false">
      <c r="A50" s="4" t="n">
        <f aca="false">A49+1</f>
        <v>2</v>
      </c>
      <c r="B50" s="4" t="n">
        <f aca="false">$B$1+A50-1</f>
        <v>61</v>
      </c>
      <c r="C50" s="4" t="n">
        <f aca="false">_xlfn.XLOOKUP(B50,Mortality_Table!$A:$A,Mortality_Table!$B:$B)</f>
        <v>0.003792</v>
      </c>
      <c r="D50" s="4" t="n">
        <f aca="false">1-C50</f>
        <v>0.996208</v>
      </c>
      <c r="E50" s="4" t="n">
        <f aca="false">E49*D49</f>
        <v>0.996602</v>
      </c>
      <c r="F50" s="4" t="n">
        <f aca="false">1/(1+$B$45)^A50</f>
        <v>0.873438728273212</v>
      </c>
      <c r="G50" s="4" t="n">
        <f aca="false">$B$2*E50*C50*F50</f>
        <v>330.082521093545</v>
      </c>
    </row>
    <row r="51" customFormat="false" ht="12.8" hidden="false" customHeight="false" outlineLevel="0" collapsed="false">
      <c r="A51" s="4" t="n">
        <f aca="false">A50+1</f>
        <v>3</v>
      </c>
      <c r="B51" s="4" t="n">
        <f aca="false">$B$1+A51-1</f>
        <v>62</v>
      </c>
      <c r="C51" s="4" t="n">
        <f aca="false">_xlfn.XLOOKUP(B51,Mortality_Table!$A:$A,Mortality_Table!$B:$B)</f>
        <v>0.004234</v>
      </c>
      <c r="D51" s="4" t="n">
        <f aca="false">1-C51</f>
        <v>0.995766</v>
      </c>
      <c r="E51" s="4" t="n">
        <f aca="false">E50*D50</f>
        <v>0.992822885216</v>
      </c>
      <c r="F51" s="4" t="n">
        <f aca="false">1/(1+$B$45)^A51</f>
        <v>0.816297876890852</v>
      </c>
      <c r="G51" s="4" t="n">
        <f aca="false">$B$2*E51*C51*F51</f>
        <v>343.139962924121</v>
      </c>
    </row>
    <row r="52" customFormat="false" ht="12.8" hidden="false" customHeight="false" outlineLevel="0" collapsed="false">
      <c r="A52" s="4" t="n">
        <f aca="false">A51+1</f>
        <v>4</v>
      </c>
      <c r="B52" s="4" t="n">
        <f aca="false">$B$1+A52-1</f>
        <v>63</v>
      </c>
      <c r="C52" s="4" t="n">
        <f aca="false">_xlfn.XLOOKUP(B52,Mortality_Table!$A:$A,Mortality_Table!$B:$B)</f>
        <v>0.00473</v>
      </c>
      <c r="D52" s="4" t="n">
        <f aca="false">1-C52</f>
        <v>0.99527</v>
      </c>
      <c r="E52" s="4" t="n">
        <f aca="false">E51*D51</f>
        <v>0.988619273119995</v>
      </c>
      <c r="F52" s="4" t="n">
        <f aca="false">1/(1+$B$45)^A52</f>
        <v>0.762895212047525</v>
      </c>
      <c r="G52" s="4" t="n">
        <f aca="false">$B$2*E52*C52*F52</f>
        <v>356.742706430544</v>
      </c>
    </row>
    <row r="53" customFormat="false" ht="12.8" hidden="false" customHeight="false" outlineLevel="0" collapsed="false">
      <c r="A53" s="4" t="n">
        <f aca="false">A52+1</f>
        <v>5</v>
      </c>
      <c r="B53" s="4" t="n">
        <f aca="false">$B$1+A53-1</f>
        <v>64</v>
      </c>
      <c r="C53" s="4" t="n">
        <f aca="false">_xlfn.XLOOKUP(B53,Mortality_Table!$A:$A,Mortality_Table!$B:$B)</f>
        <v>0.005288</v>
      </c>
      <c r="D53" s="4" t="n">
        <f aca="false">1-C53</f>
        <v>0.994712</v>
      </c>
      <c r="E53" s="4" t="n">
        <f aca="false">E52*D52</f>
        <v>0.983943103958138</v>
      </c>
      <c r="F53" s="4" t="n">
        <f aca="false">1/(1+$B$45)^A53</f>
        <v>0.712986179483668</v>
      </c>
      <c r="G53" s="4" t="n">
        <f aca="false">$B$2*E53*C53*F53</f>
        <v>370.973206894395</v>
      </c>
    </row>
    <row r="54" customFormat="false" ht="12.8" hidden="false" customHeight="false" outlineLevel="0" collapsed="false">
      <c r="A54" s="4" t="n">
        <f aca="false">A53+1</f>
        <v>6</v>
      </c>
      <c r="B54" s="4" t="n">
        <f aca="false">$B$1+A54-1</f>
        <v>65</v>
      </c>
      <c r="C54" s="4" t="n">
        <f aca="false">_xlfn.XLOOKUP(B54,Mortality_Table!$A:$A,Mortality_Table!$B:$B)</f>
        <v>0.005915</v>
      </c>
      <c r="D54" s="4" t="n">
        <f aca="false">1-C54</f>
        <v>0.994085</v>
      </c>
      <c r="E54" s="4" t="n">
        <f aca="false">E53*D53</f>
        <v>0.978740012824407</v>
      </c>
      <c r="F54" s="4" t="n">
        <f aca="false">1/(1+$B$45)^A54</f>
        <v>0.666342223816512</v>
      </c>
      <c r="G54" s="4" t="n">
        <f aca="false">$B$2*E54*C54*F54</f>
        <v>385.76198373836</v>
      </c>
    </row>
    <row r="55" customFormat="false" ht="12.8" hidden="false" customHeight="false" outlineLevel="0" collapsed="false">
      <c r="A55" s="4" t="n">
        <f aca="false">A54+1</f>
        <v>7</v>
      </c>
      <c r="B55" s="4" t="n">
        <f aca="false">$B$1+A55-1</f>
        <v>66</v>
      </c>
      <c r="C55" s="4" t="n">
        <f aca="false">_xlfn.XLOOKUP(B55,Mortality_Table!$A:$A,Mortality_Table!$B:$B)</f>
        <v>0.006619</v>
      </c>
      <c r="D55" s="4" t="n">
        <f aca="false">1-C55</f>
        <v>0.993381</v>
      </c>
      <c r="E55" s="4" t="n">
        <f aca="false">E54*D54</f>
        <v>0.972950765648551</v>
      </c>
      <c r="F55" s="4" t="n">
        <f aca="false">1/(1+$B$45)^A55</f>
        <v>0.622749741884591</v>
      </c>
      <c r="G55" s="4" t="n">
        <f aca="false">$B$2*E55*C55*F55</f>
        <v>401.048412387404</v>
      </c>
    </row>
    <row r="56" customFormat="false" ht="12.8" hidden="false" customHeight="false" outlineLevel="0" collapsed="false">
      <c r="A56" s="4" t="n">
        <f aca="false">A55+1</f>
        <v>8</v>
      </c>
      <c r="B56" s="4" t="n">
        <f aca="false">$B$1+A56-1</f>
        <v>67</v>
      </c>
      <c r="C56" s="4" t="n">
        <f aca="false">_xlfn.XLOOKUP(B56,Mortality_Table!$A:$A,Mortality_Table!$B:$B)</f>
        <v>0.007409</v>
      </c>
      <c r="D56" s="4" t="n">
        <f aca="false">1-C56</f>
        <v>0.992591</v>
      </c>
      <c r="E56" s="4" t="n">
        <f aca="false">E55*D55</f>
        <v>0.966510804530723</v>
      </c>
      <c r="F56" s="4" t="n">
        <f aca="false">1/(1+$B$45)^A56</f>
        <v>0.582009104565038</v>
      </c>
      <c r="G56" s="4" t="n">
        <f aca="false">$B$2*E56*C56*F56</f>
        <v>416.769651323155</v>
      </c>
    </row>
    <row r="57" customFormat="false" ht="12.8" hidden="false" customHeight="false" outlineLevel="0" collapsed="false">
      <c r="A57" s="4" t="n">
        <f aca="false">A56+1</f>
        <v>9</v>
      </c>
      <c r="B57" s="4" t="n">
        <f aca="false">$B$1+A57-1</f>
        <v>68</v>
      </c>
      <c r="C57" s="4" t="n">
        <f aca="false">_xlfn.XLOOKUP(B57,Mortality_Table!$A:$A,Mortality_Table!$B:$B)</f>
        <v>0.008297</v>
      </c>
      <c r="D57" s="4" t="n">
        <f aca="false">1-C57</f>
        <v>0.991703</v>
      </c>
      <c r="E57" s="4" t="n">
        <f aca="false">E56*D56</f>
        <v>0.959349925979955</v>
      </c>
      <c r="F57" s="4" t="n">
        <f aca="false">1/(1+$B$45)^A57</f>
        <v>0.543933742584148</v>
      </c>
      <c r="G57" s="4" t="n">
        <f aca="false">$B$2*E57*C57*F57</f>
        <v>432.956373580759</v>
      </c>
    </row>
    <row r="58" customFormat="false" ht="12.8" hidden="false" customHeight="false" outlineLevel="0" collapsed="false">
      <c r="A58" s="4" t="n">
        <f aca="false">A57+1</f>
        <v>10</v>
      </c>
      <c r="B58" s="4" t="n">
        <f aca="false">$B$1+A58-1</f>
        <v>69</v>
      </c>
      <c r="C58" s="4" t="n">
        <f aca="false">_xlfn.XLOOKUP(B58,Mortality_Table!$A:$A,Mortality_Table!$B:$B)</f>
        <v>0.009294</v>
      </c>
      <c r="D58" s="4" t="n">
        <f aca="false">1-C58</f>
        <v>0.990706</v>
      </c>
      <c r="E58" s="4" t="n">
        <f aca="false">E57*D57</f>
        <v>0.951390199644099</v>
      </c>
      <c r="F58" s="4" t="n">
        <f aca="false">1/(1+$B$45)^A58</f>
        <v>0.508349292134718</v>
      </c>
      <c r="G58" s="4" t="n">
        <f aca="false">$B$2*E58*C58*F58</f>
        <v>449.493653994957</v>
      </c>
    </row>
    <row r="60" customFormat="false" ht="24.05" hidden="false" customHeight="false" outlineLevel="0" collapsed="false">
      <c r="F60" s="2" t="s">
        <v>13</v>
      </c>
      <c r="G60" s="4" t="n">
        <f aca="false">SUM(G49:G58)</f>
        <v>3804.53856582518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2</v>
      </c>
      <c r="B1" s="2" t="n">
        <f aca="false">inputs!B3</f>
        <v>0.05</v>
      </c>
    </row>
    <row r="2" customFormat="false" ht="24.05" hidden="false" customHeight="false" outlineLevel="0" collapsed="false">
      <c r="A2" s="2" t="s">
        <v>14</v>
      </c>
      <c r="B2" s="2" t="s">
        <v>15</v>
      </c>
    </row>
    <row r="3" customFormat="false" ht="12.8" hidden="false" customHeight="false" outlineLevel="0" collapsed="false">
      <c r="A3" s="2" t="n">
        <v>30</v>
      </c>
      <c r="B3" s="4" t="n">
        <v>295.158110868351</v>
      </c>
    </row>
    <row r="4" customFormat="false" ht="12.8" hidden="false" customHeight="false" outlineLevel="0" collapsed="false">
      <c r="A4" s="2" t="n">
        <v>40</v>
      </c>
      <c r="B4" s="3" t="n">
        <v>573.095541464279</v>
      </c>
    </row>
    <row r="5" customFormat="false" ht="12.8" hidden="false" customHeight="false" outlineLevel="0" collapsed="false">
      <c r="A5" s="2" t="n">
        <v>50</v>
      </c>
      <c r="B5" s="3" t="n">
        <v>1461.040624779</v>
      </c>
    </row>
    <row r="6" customFormat="false" ht="12.8" hidden="false" customHeight="false" outlineLevel="0" collapsed="false">
      <c r="A6" s="2" t="n">
        <v>60</v>
      </c>
      <c r="B6" s="3" t="n">
        <v>4252.18680702962</v>
      </c>
    </row>
    <row r="25" customFormat="false" ht="12.8" hidden="false" customHeight="false" outlineLevel="0" collapsed="false">
      <c r="A25" s="0" t="s">
        <v>16</v>
      </c>
    </row>
    <row r="26" customFormat="false" ht="24.05" hidden="false" customHeight="false" outlineLevel="0" collapsed="false">
      <c r="A26" s="0" t="s">
        <v>2</v>
      </c>
      <c r="B26" s="2" t="s">
        <v>15</v>
      </c>
    </row>
    <row r="27" customFormat="false" ht="12.8" hidden="false" customHeight="false" outlineLevel="0" collapsed="false">
      <c r="A27" s="5" t="n">
        <v>0.03</v>
      </c>
      <c r="B27" s="0" t="n">
        <f aca="false">Pricing!G39</f>
        <v>4776.85103309769</v>
      </c>
    </row>
    <row r="28" customFormat="false" ht="12.8" hidden="false" customHeight="false" outlineLevel="0" collapsed="false">
      <c r="A28" s="5" t="n">
        <v>0.05</v>
      </c>
      <c r="B28" s="0" t="n">
        <f aca="false">Pricing!G19</f>
        <v>4252.18680702962</v>
      </c>
    </row>
    <row r="29" customFormat="false" ht="12.8" hidden="false" customHeight="false" outlineLevel="0" collapsed="false">
      <c r="A29" s="5" t="n">
        <v>0.07</v>
      </c>
      <c r="B29" s="0" t="n">
        <f aca="false">Pricing!G60</f>
        <v>3804.53856582518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2026-04-07T18:15:14Z</dcterms:created>
  <dc:creator/>
  <dc:description/>
  <dc:language>en-US</dc:language>
  <cp:lastModifiedBy/>
  <dcterms:modified xsi:type="dcterms:W3CDTF">2026-05-28T13:41:36Z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