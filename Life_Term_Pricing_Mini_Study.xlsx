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Mortality_Table" sheetId="2" state="visible" r:id="rId4"/>
    <sheet name="Pricing" sheetId="3" state="visible" r:id="rId5"/>
    <sheet name="summary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<sst xmlns="http://schemas.openxmlformats.org/spreadsheetml/2006/main" count="22" uniqueCount="16">
  <si>
    <t xml:space="preserve">Face Amount</t>
  </si>
  <si>
    <t xml:space="preserve">Term</t>
  </si>
  <si>
    <t xml:space="preserve">Interest Rate</t>
  </si>
  <si>
    <t xml:space="preserve">Issue Ages</t>
  </si>
  <si>
    <t xml:space="preserve">Age</t>
  </si>
  <si>
    <t xml:space="preserve">qx</t>
  </si>
  <si>
    <t xml:space="preserve">px</t>
  </si>
  <si>
    <t xml:space="preserve">Selected Issue Age</t>
  </si>
  <si>
    <t xml:space="preserve">Policy Year</t>
  </si>
  <si>
    <t xml:space="preserve">Attained Age</t>
  </si>
  <si>
    <t xml:space="preserve">Survival to Start</t>
  </si>
  <si>
    <t xml:space="preserve">Discount Factor</t>
  </si>
  <si>
    <t xml:space="preserve">EPV Contribution</t>
  </si>
  <si>
    <t xml:space="preserve">Net Single Premium </t>
  </si>
  <si>
    <t xml:space="preserve">Issue Age</t>
  </si>
  <si>
    <t xml:space="preserve">Net Single Premium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</si>
</sst>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10-Year Term Insurance Net Single Premium by Issue 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summary!$B$2</c:f>
              <c:strCache>
                <c:ptCount val="1"/>
                <c:pt idx="0">
                  <c:v>Net Single Premium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summary!$A$3:$A$6</c:f>
              <c:strCache>
                <c:ptCount val="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</c:strCache>
            </c:strRef>
          </c:cat>
          <c:val>
            <c:numRef>
              <c:f>summary!$B$3:$B$6</c:f>
              <c:numCache>
                <c:formatCode>General</c:formatCode>
                <c:ptCount val="4"/>
                <c:pt idx="0">
                  <c:v>295.158110868351</c:v>
                </c:pt>
                <c:pt idx="1">
                  <c:v>573.095541464279</c:v>
                </c:pt>
                <c:pt idx="2">
                  <c:v>1461.040624779</c:v>
                </c:pt>
                <c:pt idx="3">
                  <c:v>4252.18680702962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740291"/>
        <c:axId val="65367158"/>
      </c:lineChart>
      <c:catAx>
        <c:axId val="167402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5367158"/>
        <c:crossesAt val="0"/>
        <c:auto val="1"/>
        <c:lblAlgn val="ctr"/>
        <c:lblOffset val="100"/>
        <c:noMultiLvlLbl val="0"/>
      </c:catAx>
      <c:valAx>
        <c:axId val="653671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674029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477000</xdr:colOff>
      <xdr:row>2</xdr:row>
      <xdr:rowOff>154080</xdr:rowOff>
    </xdr:from>
    <xdr:to>
      <xdr:col>9</xdr:col>
      <xdr:colOff>547920</xdr:colOff>
      <xdr:row>22</xdr:row>
      <xdr:rowOff>138960</xdr:rowOff>
    </xdr:to>
    <xdr:graphicFrame>
      <xdr:nvGraphicFramePr>
        <xdr:cNvPr id="1" name=""/>
        <xdr:cNvGraphicFramePr/>
      </xdr:nvGraphicFramePr>
      <xdr:xfrm>
        <a:off x="2102760" y="622080"/>
        <a:ext cx="576036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n">
        <v>100000</v>
      </c>
    </row>
    <row r="2" customFormat="false" ht="12.8" hidden="false" customHeight="false" outlineLevel="0" collapsed="false">
      <c r="A2" s="1" t="s">
        <v>1</v>
      </c>
      <c r="B2" s="1" t="n">
        <v>10</v>
      </c>
    </row>
    <row r="3" customFormat="false" ht="12.8" hidden="false" customHeight="false" outlineLevel="0" collapsed="false">
      <c r="A3" s="1" t="s">
        <v>2</v>
      </c>
      <c r="B3" s="1" t="n">
        <v>0.05</v>
      </c>
    </row>
    <row r="5" customFormat="false" ht="12.8" hidden="false" customHeight="false" outlineLevel="0" collapsed="false">
      <c r="A5" s="1" t="s">
        <v>3</v>
      </c>
      <c r="B5" s="1" t="n">
        <v>30</v>
      </c>
    </row>
    <row r="6" customFormat="false" ht="12.8" hidden="false" customHeight="false" outlineLevel="0" collapsed="false">
      <c r="A6" s="2"/>
      <c r="B6" s="1" t="n">
        <v>40</v>
      </c>
    </row>
    <row r="7" customFormat="false" ht="12.8" hidden="false" customHeight="false" outlineLevel="0" collapsed="false">
      <c r="A7" s="2"/>
      <c r="B7" s="1" t="n">
        <v>50</v>
      </c>
    </row>
    <row r="8" customFormat="false" ht="12.8" hidden="false" customHeight="false" outlineLevel="0" collapsed="false">
      <c r="A8" s="2"/>
      <c r="B8" s="1" t="n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4</v>
      </c>
      <c r="B1" s="0" t="s">
        <v>5</v>
      </c>
      <c r="C1" s="0" t="s">
        <v>6</v>
      </c>
    </row>
    <row r="2" customFormat="false" ht="12.8" hidden="false" customHeight="false" outlineLevel="0" collapsed="false">
      <c r="A2" s="0" t="n">
        <v>30</v>
      </c>
      <c r="B2" s="0" t="n">
        <v>0.000315</v>
      </c>
      <c r="C2" s="0" t="n">
        <f aca="false">1-B2</f>
        <v>0.999685</v>
      </c>
    </row>
    <row r="3" customFormat="false" ht="12.8" hidden="false" customHeight="false" outlineLevel="0" collapsed="false">
      <c r="A3" s="0" t="n">
        <v>31</v>
      </c>
      <c r="B3" s="0" t="n">
        <v>0.000327</v>
      </c>
      <c r="C3" s="0" t="n">
        <f aca="false">1-B3</f>
        <v>0.999673</v>
      </c>
    </row>
    <row r="4" customFormat="false" ht="12.8" hidden="false" customHeight="false" outlineLevel="0" collapsed="false">
      <c r="A4" s="0" t="n">
        <v>32</v>
      </c>
      <c r="B4" s="0" t="n">
        <v>0.000341</v>
      </c>
      <c r="C4" s="0" t="n">
        <f aca="false">1-B4</f>
        <v>0.999659</v>
      </c>
    </row>
    <row r="5" customFormat="false" ht="12.8" hidden="false" customHeight="false" outlineLevel="0" collapsed="false">
      <c r="A5" s="0" t="n">
        <v>33</v>
      </c>
      <c r="B5" s="0" t="n">
        <v>0.000356</v>
      </c>
      <c r="C5" s="0" t="n">
        <f aca="false">1-B5</f>
        <v>0.999644</v>
      </c>
    </row>
    <row r="6" customFormat="false" ht="12.8" hidden="false" customHeight="false" outlineLevel="0" collapsed="false">
      <c r="A6" s="0" t="n">
        <v>34</v>
      </c>
      <c r="B6" s="0" t="n">
        <v>0.000372</v>
      </c>
      <c r="C6" s="0" t="n">
        <f aca="false">1-B6</f>
        <v>0.999628</v>
      </c>
    </row>
    <row r="7" customFormat="false" ht="12.8" hidden="false" customHeight="false" outlineLevel="0" collapsed="false">
      <c r="A7" s="0" t="n">
        <v>35</v>
      </c>
      <c r="B7" s="0" t="n">
        <v>0.000391</v>
      </c>
      <c r="C7" s="0" t="n">
        <f aca="false">1-B7</f>
        <v>0.999609</v>
      </c>
    </row>
    <row r="8" customFormat="false" ht="12.8" hidden="false" customHeight="false" outlineLevel="0" collapsed="false">
      <c r="A8" s="0" t="n">
        <v>36</v>
      </c>
      <c r="B8" s="0" t="n">
        <v>0.000412</v>
      </c>
      <c r="C8" s="0" t="n">
        <f aca="false">1-B8</f>
        <v>0.999588</v>
      </c>
    </row>
    <row r="9" customFormat="false" ht="12.8" hidden="false" customHeight="false" outlineLevel="0" collapsed="false">
      <c r="A9" s="0" t="n">
        <v>37</v>
      </c>
      <c r="B9" s="0" t="n">
        <v>0.000436</v>
      </c>
      <c r="C9" s="0" t="n">
        <f aca="false">1-B9</f>
        <v>0.999564</v>
      </c>
    </row>
    <row r="10" customFormat="false" ht="12.8" hidden="false" customHeight="false" outlineLevel="0" collapsed="false">
      <c r="A10" s="0" t="n">
        <v>38</v>
      </c>
      <c r="B10" s="0" t="n">
        <v>0.000463</v>
      </c>
      <c r="C10" s="0" t="n">
        <f aca="false">1-B10</f>
        <v>0.999537</v>
      </c>
    </row>
    <row r="11" customFormat="false" ht="12.8" hidden="false" customHeight="false" outlineLevel="0" collapsed="false">
      <c r="A11" s="0" t="n">
        <v>39</v>
      </c>
      <c r="B11" s="0" t="n">
        <v>0.000493</v>
      </c>
      <c r="C11" s="0" t="n">
        <f aca="false">1-B11</f>
        <v>0.999507</v>
      </c>
    </row>
    <row r="12" customFormat="false" ht="12.8" hidden="false" customHeight="false" outlineLevel="0" collapsed="false">
      <c r="A12" s="0" t="n">
        <v>40</v>
      </c>
      <c r="B12" s="0" t="n">
        <v>0.000527</v>
      </c>
      <c r="C12" s="0" t="n">
        <f aca="false">1-B12</f>
        <v>0.999473</v>
      </c>
    </row>
    <row r="13" customFormat="false" ht="12.8" hidden="false" customHeight="false" outlineLevel="0" collapsed="false">
      <c r="A13" s="0" t="n">
        <v>41</v>
      </c>
      <c r="B13" s="0" t="n">
        <v>0.000565</v>
      </c>
      <c r="C13" s="0" t="n">
        <f aca="false">1-B13</f>
        <v>0.999435</v>
      </c>
    </row>
    <row r="14" customFormat="false" ht="12.8" hidden="false" customHeight="false" outlineLevel="0" collapsed="false">
      <c r="A14" s="0" t="n">
        <v>42</v>
      </c>
      <c r="B14" s="0" t="n">
        <v>0.000608</v>
      </c>
      <c r="C14" s="0" t="n">
        <f aca="false">1-B14</f>
        <v>0.999392</v>
      </c>
    </row>
    <row r="15" customFormat="false" ht="12.8" hidden="false" customHeight="false" outlineLevel="0" collapsed="false">
      <c r="A15" s="0" t="n">
        <v>43</v>
      </c>
      <c r="B15" s="0" t="n">
        <v>0.000656</v>
      </c>
      <c r="C15" s="0" t="n">
        <f aca="false">1-B15</f>
        <v>0.999344</v>
      </c>
    </row>
    <row r="16" customFormat="false" ht="12.8" hidden="false" customHeight="false" outlineLevel="0" collapsed="false">
      <c r="A16" s="0" t="n">
        <v>44</v>
      </c>
      <c r="B16" s="0" t="n">
        <v>0.00071</v>
      </c>
      <c r="C16" s="0" t="n">
        <f aca="false">1-B16</f>
        <v>0.99929</v>
      </c>
    </row>
    <row r="17" customFormat="false" ht="12.8" hidden="false" customHeight="false" outlineLevel="0" collapsed="false">
      <c r="A17" s="0" t="n">
        <v>45</v>
      </c>
      <c r="B17" s="0" t="n">
        <v>0.000771</v>
      </c>
      <c r="C17" s="0" t="n">
        <f aca="false">1-B17</f>
        <v>0.999229</v>
      </c>
    </row>
    <row r="18" customFormat="false" ht="12.8" hidden="false" customHeight="false" outlineLevel="0" collapsed="false">
      <c r="A18" s="0" t="n">
        <v>46</v>
      </c>
      <c r="B18" s="0" t="n">
        <v>0.000839</v>
      </c>
      <c r="C18" s="0" t="n">
        <f aca="false">1-B18</f>
        <v>0.999161</v>
      </c>
    </row>
    <row r="19" customFormat="false" ht="12.8" hidden="false" customHeight="false" outlineLevel="0" collapsed="false">
      <c r="A19" s="0" t="n">
        <v>47</v>
      </c>
      <c r="B19" s="0" t="n">
        <v>0.000916</v>
      </c>
      <c r="C19" s="0" t="n">
        <f aca="false">1-B19</f>
        <v>0.999084</v>
      </c>
    </row>
    <row r="20" customFormat="false" ht="12.8" hidden="false" customHeight="false" outlineLevel="0" collapsed="false">
      <c r="A20" s="0" t="n">
        <v>48</v>
      </c>
      <c r="B20" s="0" t="n">
        <v>0.001003</v>
      </c>
      <c r="C20" s="0" t="n">
        <f aca="false">1-B20</f>
        <v>0.998997</v>
      </c>
    </row>
    <row r="21" customFormat="false" ht="12.8" hidden="false" customHeight="false" outlineLevel="0" collapsed="false">
      <c r="A21" s="0" t="n">
        <v>49</v>
      </c>
      <c r="B21" s="0" t="n">
        <v>0.0011</v>
      </c>
      <c r="C21" s="0" t="n">
        <f aca="false">1-B21</f>
        <v>0.9989</v>
      </c>
    </row>
    <row r="22" customFormat="false" ht="12.8" hidden="false" customHeight="false" outlineLevel="0" collapsed="false">
      <c r="A22" s="0" t="n">
        <v>50</v>
      </c>
      <c r="B22" s="0" t="n">
        <v>0.001209</v>
      </c>
      <c r="C22" s="0" t="n">
        <f aca="false">1-B22</f>
        <v>0.998791</v>
      </c>
    </row>
    <row r="23" customFormat="false" ht="12.8" hidden="false" customHeight="false" outlineLevel="0" collapsed="false">
      <c r="A23" s="0" t="n">
        <v>51</v>
      </c>
      <c r="B23" s="0" t="n">
        <v>0.001331</v>
      </c>
      <c r="C23" s="0" t="n">
        <f aca="false">1-B23</f>
        <v>0.998669</v>
      </c>
    </row>
    <row r="24" customFormat="false" ht="12.8" hidden="false" customHeight="false" outlineLevel="0" collapsed="false">
      <c r="A24" s="0" t="n">
        <v>52</v>
      </c>
      <c r="B24" s="0" t="n">
        <v>0.001469</v>
      </c>
      <c r="C24" s="0" t="n">
        <f aca="false">1-B24</f>
        <v>0.998531</v>
      </c>
    </row>
    <row r="25" customFormat="false" ht="12.8" hidden="false" customHeight="false" outlineLevel="0" collapsed="false">
      <c r="A25" s="0" t="n">
        <v>53</v>
      </c>
      <c r="B25" s="0" t="n">
        <v>0.001623</v>
      </c>
      <c r="C25" s="0" t="n">
        <f aca="false">1-B25</f>
        <v>0.998377</v>
      </c>
    </row>
    <row r="26" customFormat="false" ht="12.8" hidden="false" customHeight="false" outlineLevel="0" collapsed="false">
      <c r="A26" s="0" t="n">
        <v>54</v>
      </c>
      <c r="B26" s="0" t="n">
        <v>0.001797</v>
      </c>
      <c r="C26" s="0" t="n">
        <f aca="false">1-B26</f>
        <v>0.998203</v>
      </c>
    </row>
    <row r="27" customFormat="false" ht="12.8" hidden="false" customHeight="false" outlineLevel="0" collapsed="false">
      <c r="A27" s="0" t="n">
        <v>55</v>
      </c>
      <c r="B27" s="0" t="n">
        <v>0.001993</v>
      </c>
      <c r="C27" s="0" t="n">
        <f aca="false">1-B27</f>
        <v>0.998007</v>
      </c>
    </row>
    <row r="28" customFormat="false" ht="12.8" hidden="false" customHeight="false" outlineLevel="0" collapsed="false">
      <c r="A28" s="0" t="n">
        <v>56</v>
      </c>
      <c r="B28" s="0" t="n">
        <v>0.002212</v>
      </c>
      <c r="C28" s="0" t="n">
        <f aca="false">1-B28</f>
        <v>0.997788</v>
      </c>
    </row>
    <row r="29" customFormat="false" ht="12.8" hidden="false" customHeight="false" outlineLevel="0" collapsed="false">
      <c r="A29" s="0" t="n">
        <v>57</v>
      </c>
      <c r="B29" s="0" t="n">
        <v>0.002459</v>
      </c>
      <c r="C29" s="0" t="n">
        <f aca="false">1-B29</f>
        <v>0.997541</v>
      </c>
    </row>
    <row r="30" customFormat="false" ht="12.8" hidden="false" customHeight="false" outlineLevel="0" collapsed="false">
      <c r="A30" s="0" t="n">
        <v>58</v>
      </c>
      <c r="B30" s="0" t="n">
        <v>0.002736</v>
      </c>
      <c r="C30" s="0" t="n">
        <f aca="false">1-B30</f>
        <v>0.997264</v>
      </c>
    </row>
    <row r="31" customFormat="false" ht="12.8" hidden="false" customHeight="false" outlineLevel="0" collapsed="false">
      <c r="A31" s="0" t="n">
        <v>59</v>
      </c>
      <c r="B31" s="0" t="n">
        <v>0.003048</v>
      </c>
      <c r="C31" s="0" t="n">
        <f aca="false">1-B31</f>
        <v>0.996952</v>
      </c>
    </row>
    <row r="32" customFormat="false" ht="12.8" hidden="false" customHeight="false" outlineLevel="0" collapsed="false">
      <c r="A32" s="0" t="n">
        <v>60</v>
      </c>
      <c r="B32" s="0" t="n">
        <v>0.003398</v>
      </c>
      <c r="C32" s="0" t="n">
        <f aca="false">1-B32</f>
        <v>0.996602</v>
      </c>
    </row>
    <row r="33" customFormat="false" ht="12.8" hidden="false" customHeight="false" outlineLevel="0" collapsed="false">
      <c r="A33" s="0" t="n">
        <v>61</v>
      </c>
      <c r="B33" s="0" t="n">
        <v>0.003792</v>
      </c>
      <c r="C33" s="0" t="n">
        <f aca="false">1-B33</f>
        <v>0.996208</v>
      </c>
    </row>
    <row r="34" customFormat="false" ht="12.8" hidden="false" customHeight="false" outlineLevel="0" collapsed="false">
      <c r="A34" s="0" t="n">
        <v>62</v>
      </c>
      <c r="B34" s="0" t="n">
        <v>0.004234</v>
      </c>
      <c r="C34" s="0" t="n">
        <f aca="false">1-B34</f>
        <v>0.995766</v>
      </c>
    </row>
    <row r="35" customFormat="false" ht="12.8" hidden="false" customHeight="false" outlineLevel="0" collapsed="false">
      <c r="A35" s="0" t="n">
        <v>63</v>
      </c>
      <c r="B35" s="0" t="n">
        <v>0.00473</v>
      </c>
      <c r="C35" s="0" t="n">
        <f aca="false">1-B35</f>
        <v>0.99527</v>
      </c>
    </row>
    <row r="36" customFormat="false" ht="12.8" hidden="false" customHeight="false" outlineLevel="0" collapsed="false">
      <c r="A36" s="0" t="n">
        <v>64</v>
      </c>
      <c r="B36" s="0" t="n">
        <v>0.005288</v>
      </c>
      <c r="C36" s="0" t="n">
        <f aca="false">1-B36</f>
        <v>0.994712</v>
      </c>
    </row>
    <row r="37" customFormat="false" ht="12.8" hidden="false" customHeight="false" outlineLevel="0" collapsed="false">
      <c r="A37" s="0" t="n">
        <v>65</v>
      </c>
      <c r="B37" s="0" t="n">
        <v>0.005915</v>
      </c>
      <c r="C37" s="0" t="n">
        <f aca="false">1-B37</f>
        <v>0.994085</v>
      </c>
    </row>
    <row r="38" customFormat="false" ht="12.8" hidden="false" customHeight="false" outlineLevel="0" collapsed="false">
      <c r="A38" s="0" t="n">
        <v>66</v>
      </c>
      <c r="B38" s="0" t="n">
        <v>0.006619</v>
      </c>
      <c r="C38" s="0" t="n">
        <f aca="false">1-B38</f>
        <v>0.993381</v>
      </c>
    </row>
    <row r="39" customFormat="false" ht="12.8" hidden="false" customHeight="false" outlineLevel="0" collapsed="false">
      <c r="A39" s="0" t="n">
        <v>67</v>
      </c>
      <c r="B39" s="0" t="n">
        <v>0.007409</v>
      </c>
      <c r="C39" s="0" t="n">
        <f aca="false">1-B39</f>
        <v>0.992591</v>
      </c>
    </row>
    <row r="40" customFormat="false" ht="12.8" hidden="false" customHeight="false" outlineLevel="0" collapsed="false">
      <c r="A40" s="0" t="n">
        <v>68</v>
      </c>
      <c r="B40" s="0" t="n">
        <v>0.008297</v>
      </c>
      <c r="C40" s="0" t="n">
        <f aca="false">1-B40</f>
        <v>0.991703</v>
      </c>
    </row>
    <row r="41" customFormat="false" ht="12.8" hidden="false" customHeight="false" outlineLevel="0" collapsed="false">
      <c r="A41" s="0" t="n">
        <v>69</v>
      </c>
      <c r="B41" s="0" t="n">
        <v>0.009294</v>
      </c>
      <c r="C41" s="0" t="n">
        <f aca="false">1-B41</f>
        <v>0.990706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1.53515625" defaultRowHeight="12.8" customHeight="false" zeroHeight="false" outlineLevelRow="0" outlineLevelCol="0"/>
  <sheetData>
    <row r="1" customFormat="false" ht="24.05" hidden="false" customHeight="false" outlineLevel="0" collapsed="false">
      <c r="A1" s="1" t="s">
        <v>7</v>
      </c>
      <c r="B1" s="1" t="n">
        <v>60</v>
      </c>
    </row>
    <row r="2" customFormat="false" ht="12.8" hidden="false" customHeight="false" outlineLevel="0" collapsed="false">
      <c r="A2" s="1" t="s">
        <v>0</v>
      </c>
      <c r="B2" s="1" t="n">
        <f aca="false">inputs!B1</f>
        <v>100000</v>
      </c>
    </row>
    <row r="3" customFormat="false" ht="12.8" hidden="false" customHeight="false" outlineLevel="0" collapsed="false">
      <c r="A3" s="1" t="s">
        <v>1</v>
      </c>
      <c r="B3" s="1" t="n">
        <f aca="false">inputs!B2</f>
        <v>10</v>
      </c>
    </row>
    <row r="4" customFormat="false" ht="12.8" hidden="false" customHeight="false" outlineLevel="0" collapsed="false">
      <c r="A4" s="1" t="s">
        <v>2</v>
      </c>
      <c r="B4" s="1" t="n">
        <f aca="false">inputs!B3</f>
        <v>0.05</v>
      </c>
    </row>
    <row r="7" customFormat="false" ht="24.05" hidden="false" customHeight="false" outlineLevel="0" collapsed="false">
      <c r="A7" s="1" t="s">
        <v>8</v>
      </c>
      <c r="B7" s="1" t="s">
        <v>9</v>
      </c>
      <c r="C7" s="1" t="s">
        <v>5</v>
      </c>
      <c r="D7" s="1" t="s">
        <v>6</v>
      </c>
      <c r="E7" s="1" t="s">
        <v>10</v>
      </c>
      <c r="F7" s="1" t="s">
        <v>11</v>
      </c>
      <c r="G7" s="1" t="s">
        <v>12</v>
      </c>
    </row>
    <row r="8" customFormat="false" ht="12.8" hidden="false" customHeight="false" outlineLevel="0" collapsed="false">
      <c r="A8" s="0" t="n">
        <v>1</v>
      </c>
      <c r="B8" s="0" t="n">
        <f aca="false">$B$1+A8-1</f>
        <v>60</v>
      </c>
      <c r="C8" s="0" t="n">
        <f aca="false">_xlfn.XLOOKUP(B8,Mortality_Table!$A:$A,Mortality_Table!$B:$B)</f>
        <v>0.003398</v>
      </c>
      <c r="D8" s="0" t="n">
        <f aca="false">1-C8</f>
        <v>0.996602</v>
      </c>
      <c r="E8" s="0" t="n">
        <f aca="false">1</f>
        <v>1</v>
      </c>
      <c r="F8" s="0" t="n">
        <f aca="false">1/(1+$B$4)^A8</f>
        <v>0.952380952380952</v>
      </c>
      <c r="G8" s="0" t="n">
        <f aca="false">$B$2*E8*C8*F8</f>
        <v>323.619047619048</v>
      </c>
    </row>
    <row r="9" customFormat="false" ht="12.8" hidden="false" customHeight="false" outlineLevel="0" collapsed="false">
      <c r="A9" s="0" t="n">
        <f aca="false">A8+1</f>
        <v>2</v>
      </c>
      <c r="B9" s="0" t="n">
        <f aca="false">$B$1+A9-1</f>
        <v>61</v>
      </c>
      <c r="C9" s="0" t="n">
        <f aca="false">_xlfn.XLOOKUP(B9,Mortality_Table!$A:$A,Mortality_Table!$B:$B)</f>
        <v>0.003792</v>
      </c>
      <c r="D9" s="0" t="n">
        <f aca="false">1-C9</f>
        <v>0.996208</v>
      </c>
      <c r="E9" s="0" t="n">
        <f aca="false">E8*D8</f>
        <v>0.996602</v>
      </c>
      <c r="F9" s="0" t="n">
        <f aca="false">1/(1+$B$4)^A9</f>
        <v>0.90702947845805</v>
      </c>
      <c r="G9" s="0" t="n">
        <f aca="false">$B$2*E9*C9*F9</f>
        <v>342.776851156463</v>
      </c>
    </row>
    <row r="10" customFormat="false" ht="12.8" hidden="false" customHeight="false" outlineLevel="0" collapsed="false">
      <c r="A10" s="0" t="n">
        <f aca="false">A9+1</f>
        <v>3</v>
      </c>
      <c r="B10" s="0" t="n">
        <f aca="false">$B$1+A10-1</f>
        <v>62</v>
      </c>
      <c r="C10" s="0" t="n">
        <f aca="false">_xlfn.XLOOKUP(B10,Mortality_Table!$A:$A,Mortality_Table!$B:$B)</f>
        <v>0.004234</v>
      </c>
      <c r="D10" s="0" t="n">
        <f aca="false">1-C10</f>
        <v>0.995766</v>
      </c>
      <c r="E10" s="0" t="n">
        <f aca="false">E9*D9</f>
        <v>0.992822885216</v>
      </c>
      <c r="F10" s="0" t="n">
        <f aca="false">1/(1+$B$4)^A10</f>
        <v>0.863837598531476</v>
      </c>
      <c r="G10" s="0" t="n">
        <f aca="false">$B$2*E10*C10*F10</f>
        <v>363.123817817043</v>
      </c>
    </row>
    <row r="11" customFormat="false" ht="12.8" hidden="false" customHeight="false" outlineLevel="0" collapsed="false">
      <c r="A11" s="0" t="n">
        <f aca="false">A10+1</f>
        <v>4</v>
      </c>
      <c r="B11" s="0" t="n">
        <f aca="false">$B$1+A11-1</f>
        <v>63</v>
      </c>
      <c r="C11" s="0" t="n">
        <f aca="false">_xlfn.XLOOKUP(B11,Mortality_Table!$A:$A,Mortality_Table!$B:$B)</f>
        <v>0.00473</v>
      </c>
      <c r="D11" s="0" t="n">
        <f aca="false">1-C11</f>
        <v>0.99527</v>
      </c>
      <c r="E11" s="0" t="n">
        <f aca="false">E10*D10</f>
        <v>0.988619273119995</v>
      </c>
      <c r="F11" s="0" t="n">
        <f aca="false">1/(1+$B$4)^A11</f>
        <v>0.822702474791882</v>
      </c>
      <c r="G11" s="0" t="n">
        <f aca="false">$B$2*E11*C11*F11</f>
        <v>384.709594200571</v>
      </c>
    </row>
    <row r="12" customFormat="false" ht="12.8" hidden="false" customHeight="false" outlineLevel="0" collapsed="false">
      <c r="A12" s="0" t="n">
        <f aca="false">A11+1</f>
        <v>5</v>
      </c>
      <c r="B12" s="0" t="n">
        <f aca="false">$B$1+A12-1</f>
        <v>64</v>
      </c>
      <c r="C12" s="0" t="n">
        <f aca="false">_xlfn.XLOOKUP(B12,Mortality_Table!$A:$A,Mortality_Table!$B:$B)</f>
        <v>0.005288</v>
      </c>
      <c r="D12" s="0" t="n">
        <f aca="false">1-C12</f>
        <v>0.994712</v>
      </c>
      <c r="E12" s="0" t="n">
        <f aca="false">E11*D11</f>
        <v>0.983943103958138</v>
      </c>
      <c r="F12" s="0" t="n">
        <f aca="false">1/(1+$B$4)^A12</f>
        <v>0.783526166468459</v>
      </c>
      <c r="G12" s="0" t="n">
        <f aca="false">$B$2*E12*C12*F12</f>
        <v>407.675804979799</v>
      </c>
    </row>
    <row r="13" customFormat="false" ht="12.8" hidden="false" customHeight="false" outlineLevel="0" collapsed="false">
      <c r="A13" s="0" t="n">
        <f aca="false">A12+1</f>
        <v>6</v>
      </c>
      <c r="B13" s="0" t="n">
        <f aca="false">$B$1+A13-1</f>
        <v>65</v>
      </c>
      <c r="C13" s="0" t="n">
        <f aca="false">_xlfn.XLOOKUP(B13,Mortality_Table!$A:$A,Mortality_Table!$B:$B)</f>
        <v>0.005915</v>
      </c>
      <c r="D13" s="0" t="n">
        <f aca="false">1-C13</f>
        <v>0.994085</v>
      </c>
      <c r="E13" s="0" t="n">
        <f aca="false">E12*D12</f>
        <v>0.978740012824407</v>
      </c>
      <c r="F13" s="0" t="n">
        <f aca="false">1/(1+$B$4)^A13</f>
        <v>0.746215396636627</v>
      </c>
      <c r="G13" s="0" t="n">
        <f aca="false">$B$2*E13*C13*F13</f>
        <v>432.002537755914</v>
      </c>
    </row>
    <row r="14" customFormat="false" ht="12.8" hidden="false" customHeight="false" outlineLevel="0" collapsed="false">
      <c r="A14" s="0" t="n">
        <f aca="false">A13+1</f>
        <v>7</v>
      </c>
      <c r="B14" s="0" t="n">
        <f aca="false">$B$1+A14-1</f>
        <v>66</v>
      </c>
      <c r="C14" s="0" t="n">
        <f aca="false">_xlfn.XLOOKUP(B14,Mortality_Table!$A:$A,Mortality_Table!$B:$B)</f>
        <v>0.006619</v>
      </c>
      <c r="D14" s="0" t="n">
        <f aca="false">1-C14</f>
        <v>0.993381</v>
      </c>
      <c r="E14" s="0" t="n">
        <f aca="false">E13*D13</f>
        <v>0.972950765648551</v>
      </c>
      <c r="F14" s="0" t="n">
        <f aca="false">1/(1+$B$4)^A14</f>
        <v>0.710681330130121</v>
      </c>
      <c r="G14" s="0" t="n">
        <f aca="false">$B$2*E14*C14*F14</f>
        <v>457.67601332041</v>
      </c>
    </row>
    <row r="15" customFormat="false" ht="12.8" hidden="false" customHeight="false" outlineLevel="0" collapsed="false">
      <c r="A15" s="0" t="n">
        <f aca="false">A14+1</f>
        <v>8</v>
      </c>
      <c r="B15" s="0" t="n">
        <f aca="false">$B$1+A15-1</f>
        <v>67</v>
      </c>
      <c r="C15" s="0" t="n">
        <f aca="false">_xlfn.XLOOKUP(B15,Mortality_Table!$A:$A,Mortality_Table!$B:$B)</f>
        <v>0.007409</v>
      </c>
      <c r="D15" s="0" t="n">
        <f aca="false">1-C15</f>
        <v>0.992591</v>
      </c>
      <c r="E15" s="0" t="n">
        <f aca="false">E14*D14</f>
        <v>0.966510804530723</v>
      </c>
      <c r="F15" s="0" t="n">
        <f aca="false">1/(1+$B$4)^A15</f>
        <v>0.676839362028687</v>
      </c>
      <c r="G15" s="0" t="n">
        <f aca="false">$B$2*E15*C15*F15</f>
        <v>484.676446986681</v>
      </c>
    </row>
    <row r="16" customFormat="false" ht="12.8" hidden="false" customHeight="false" outlineLevel="0" collapsed="false">
      <c r="A16" s="0" t="n">
        <f aca="false">A15+1</f>
        <v>9</v>
      </c>
      <c r="B16" s="0" t="n">
        <f aca="false">$B$1+A16-1</f>
        <v>68</v>
      </c>
      <c r="C16" s="0" t="n">
        <f aca="false">_xlfn.XLOOKUP(B16,Mortality_Table!$A:$A,Mortality_Table!$B:$B)</f>
        <v>0.008297</v>
      </c>
      <c r="D16" s="0" t="n">
        <f aca="false">1-C16</f>
        <v>0.991703</v>
      </c>
      <c r="E16" s="0" t="n">
        <f aca="false">E15*D15</f>
        <v>0.959349925979955</v>
      </c>
      <c r="F16" s="0" t="n">
        <f aca="false">1/(1+$B$4)^A16</f>
        <v>0.644608916217797</v>
      </c>
      <c r="G16" s="0" t="n">
        <f aca="false">$B$2*E16*C16*F16</f>
        <v>513.091056674619</v>
      </c>
    </row>
    <row r="17" customFormat="false" ht="12.8" hidden="false" customHeight="false" outlineLevel="0" collapsed="false">
      <c r="A17" s="0" t="n">
        <f aca="false">A16+1</f>
        <v>10</v>
      </c>
      <c r="B17" s="0" t="n">
        <f aca="false">$B$1+A17-1</f>
        <v>69</v>
      </c>
      <c r="C17" s="0" t="n">
        <f aca="false">_xlfn.XLOOKUP(B17,Mortality_Table!$A:$A,Mortality_Table!$B:$B)</f>
        <v>0.009294</v>
      </c>
      <c r="D17" s="0" t="n">
        <f aca="false">1-C17</f>
        <v>0.990706</v>
      </c>
      <c r="E17" s="0" t="n">
        <f aca="false">E16*D16</f>
        <v>0.951390199644099</v>
      </c>
      <c r="F17" s="0" t="n">
        <f aca="false">1/(1+$B$4)^A17</f>
        <v>0.613913253540759</v>
      </c>
      <c r="G17" s="0" t="n">
        <f aca="false">$B$2*E17*C17*F17</f>
        <v>542.83563651907</v>
      </c>
    </row>
    <row r="19" customFormat="false" ht="24.05" hidden="false" customHeight="false" outlineLevel="0" collapsed="false">
      <c r="F19" s="1" t="s">
        <v>13</v>
      </c>
      <c r="G19" s="0" t="n">
        <f aca="false">SUM(G8:G17)</f>
        <v>4252.18680702962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2</v>
      </c>
      <c r="B1" s="1" t="n">
        <f aca="false">inputs!B3</f>
        <v>0.05</v>
      </c>
    </row>
    <row r="2" customFormat="false" ht="24.05" hidden="false" customHeight="false" outlineLevel="0" collapsed="false">
      <c r="A2" s="1" t="s">
        <v>14</v>
      </c>
      <c r="B2" s="1" t="s">
        <v>15</v>
      </c>
    </row>
    <row r="3" customFormat="false" ht="12.8" hidden="false" customHeight="false" outlineLevel="0" collapsed="false">
      <c r="A3" s="1" t="n">
        <v>30</v>
      </c>
      <c r="B3" s="0" t="n">
        <v>295.158110868351</v>
      </c>
    </row>
    <row r="4" customFormat="false" ht="12.8" hidden="false" customHeight="false" outlineLevel="0" collapsed="false">
      <c r="A4" s="1" t="n">
        <v>40</v>
      </c>
      <c r="B4" s="2" t="n">
        <v>573.095541464279</v>
      </c>
    </row>
    <row r="5" customFormat="false" ht="12.8" hidden="false" customHeight="false" outlineLevel="0" collapsed="false">
      <c r="A5" s="1" t="n">
        <v>50</v>
      </c>
      <c r="B5" s="2" t="n">
        <v>1461.040624779</v>
      </c>
    </row>
    <row r="6" customFormat="false" ht="12.8" hidden="false" customHeight="false" outlineLevel="0" collapsed="false">
      <c r="A6" s="1" t="n">
        <v>60</v>
      </c>
      <c r="B6" s="2" t="n">
        <v>4252.18680702962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2026-04-07T18:15:14Z</dcterms:created>
  <dc:creator/>
  <dc:description/>
  <dc:language>en-US</dc:language>
  <cp:lastModifiedBy/>
  <dcterms:modified xsi:type="dcterms:W3CDTF">2026-04-07T18:34:14Z</dcterms:modified>
  <cp:revision>1</cp:revision>
  <dc:subject/>
  <dc:title/>
</cp:coreProperties>
</file>